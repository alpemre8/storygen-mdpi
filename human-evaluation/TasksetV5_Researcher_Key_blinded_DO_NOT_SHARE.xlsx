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tih\Downloads\github_rater_files\"/>
    </mc:Choice>
  </mc:AlternateContent>
  <xr:revisionPtr revIDLastSave="0" documentId="8_{70A1F62F-E53F-4F33-9FA9-5999A5A34A75}" xr6:coauthVersionLast="47" xr6:coauthVersionMax="47" xr10:uidLastSave="{00000000-0000-0000-0000-000000000000}"/>
  <bookViews>
    <workbookView xWindow="-108" yWindow="-108" windowWidth="23256" windowHeight="13896" tabRatio="500" activeTab="7" xr2:uid="{00000000-000D-0000-FFFF-FFFF00000000}"/>
  </bookViews>
  <sheets>
    <sheet name="Read me" sheetId="1" r:id="rId1"/>
    <sheet name="Blinding key" sheetId="2" r:id="rId2"/>
    <sheet name="R1" sheetId="3" r:id="rId3"/>
    <sheet name="R2" sheetId="4" r:id="rId4"/>
    <sheet name="R3" sheetId="5" r:id="rId5"/>
    <sheet name="Features" sheetId="6" r:id="rId6"/>
    <sheet name="Quality" sheetId="7" r:id="rId7"/>
    <sheet name="Summary" sheetId="8" r:id="rId8"/>
  </sheets>
  <definedNames>
    <definedName name="_xlnm.Print_Titles" localSheetId="1">'Blinding key'!$1:$1</definedName>
    <definedName name="_xlnm.Print_Titles" localSheetId="5">Features!$1:$1</definedName>
    <definedName name="_xlnm.Print_Titles" localSheetId="6">Quality!$1:$1</definedName>
    <definedName name="_xlnm.Print_Titles" localSheetId="2">'R1'!$1:$2</definedName>
    <definedName name="_xlnm.Print_Titles" localSheetId="3">'R2'!$1:$2</definedName>
    <definedName name="_xlnm.Print_Titles" localSheetId="4">'R3'!$1:$2</definedName>
    <definedName name="_xlnm.Print_Titles" localSheetId="7">Summary!$1:$1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6" i="7" l="1"/>
  <c r="J26" i="7"/>
  <c r="I26" i="7"/>
  <c r="B26" i="7"/>
  <c r="K25" i="7"/>
  <c r="J25" i="7"/>
  <c r="I25" i="7"/>
  <c r="B25" i="7"/>
  <c r="K24" i="7"/>
  <c r="J24" i="7"/>
  <c r="I24" i="7"/>
  <c r="B24" i="7"/>
  <c r="K23" i="7"/>
  <c r="J23" i="7"/>
  <c r="I23" i="7"/>
  <c r="B23" i="7"/>
  <c r="K22" i="7"/>
  <c r="J22" i="7"/>
  <c r="I22" i="7"/>
  <c r="B22" i="7"/>
  <c r="K21" i="7"/>
  <c r="J21" i="7"/>
  <c r="I21" i="7"/>
  <c r="B21" i="7"/>
  <c r="K20" i="7"/>
  <c r="J20" i="7"/>
  <c r="I20" i="7"/>
  <c r="B20" i="7"/>
  <c r="K19" i="7"/>
  <c r="J19" i="7"/>
  <c r="I19" i="7"/>
  <c r="B19" i="7"/>
  <c r="K18" i="7"/>
  <c r="J18" i="7"/>
  <c r="I18" i="7"/>
  <c r="B18" i="7"/>
  <c r="K17" i="7"/>
  <c r="J17" i="7"/>
  <c r="I17" i="7"/>
  <c r="B17" i="7"/>
  <c r="K16" i="7"/>
  <c r="J16" i="7"/>
  <c r="I16" i="7"/>
  <c r="B16" i="7"/>
  <c r="K15" i="7"/>
  <c r="J15" i="7"/>
  <c r="I15" i="7"/>
  <c r="B15" i="7"/>
  <c r="K14" i="7"/>
  <c r="J14" i="7"/>
  <c r="I14" i="7"/>
  <c r="B14" i="7"/>
  <c r="K13" i="7"/>
  <c r="J13" i="7"/>
  <c r="I13" i="7"/>
  <c r="B13" i="7"/>
  <c r="K12" i="7"/>
  <c r="J12" i="7"/>
  <c r="I12" i="7"/>
  <c r="B12" i="7"/>
  <c r="K11" i="7"/>
  <c r="J11" i="7"/>
  <c r="I11" i="7"/>
  <c r="B11" i="7"/>
  <c r="K10" i="7"/>
  <c r="J10" i="7"/>
  <c r="I10" i="7"/>
  <c r="B10" i="7"/>
  <c r="K9" i="7"/>
  <c r="J9" i="7"/>
  <c r="I9" i="7"/>
  <c r="B9" i="7"/>
  <c r="K8" i="7"/>
  <c r="J8" i="7"/>
  <c r="I8" i="7"/>
  <c r="B8" i="7"/>
  <c r="K7" i="7"/>
  <c r="J7" i="7"/>
  <c r="I7" i="7"/>
  <c r="B7" i="7"/>
  <c r="K6" i="7"/>
  <c r="J6" i="7"/>
  <c r="I6" i="7"/>
  <c r="B6" i="7"/>
  <c r="K5" i="7"/>
  <c r="J5" i="7"/>
  <c r="I5" i="7"/>
  <c r="B5" i="7"/>
  <c r="K4" i="7"/>
  <c r="J4" i="7"/>
  <c r="I4" i="7"/>
  <c r="B4" i="7"/>
  <c r="K3" i="7"/>
  <c r="J3" i="7"/>
  <c r="I3" i="7"/>
  <c r="B3" i="7"/>
  <c r="K2" i="7"/>
  <c r="J2" i="7"/>
  <c r="I2" i="7"/>
  <c r="B2" i="7"/>
  <c r="R126" i="6"/>
  <c r="L126" i="6"/>
  <c r="K126" i="6"/>
  <c r="R125" i="6"/>
  <c r="L125" i="6"/>
  <c r="K125" i="6"/>
  <c r="R124" i="6"/>
  <c r="L124" i="6"/>
  <c r="K124" i="6"/>
  <c r="R123" i="6"/>
  <c r="L123" i="6"/>
  <c r="K123" i="6"/>
  <c r="R122" i="6"/>
  <c r="L122" i="6"/>
  <c r="K122" i="6"/>
  <c r="R121" i="6"/>
  <c r="L121" i="6"/>
  <c r="K121" i="6"/>
  <c r="R120" i="6"/>
  <c r="L120" i="6"/>
  <c r="K120" i="6"/>
  <c r="R119" i="6"/>
  <c r="L119" i="6"/>
  <c r="K119" i="6"/>
  <c r="R118" i="6"/>
  <c r="L118" i="6"/>
  <c r="K118" i="6"/>
  <c r="R117" i="6"/>
  <c r="L117" i="6"/>
  <c r="K117" i="6"/>
  <c r="R116" i="6"/>
  <c r="L116" i="6"/>
  <c r="K116" i="6"/>
  <c r="R115" i="6"/>
  <c r="L115" i="6"/>
  <c r="K115" i="6"/>
  <c r="R114" i="6"/>
  <c r="L114" i="6"/>
  <c r="K114" i="6"/>
  <c r="L113" i="6"/>
  <c r="K113" i="6"/>
  <c r="R113" i="6" s="1"/>
  <c r="R112" i="6"/>
  <c r="L112" i="6"/>
  <c r="K112" i="6"/>
  <c r="R111" i="6"/>
  <c r="L111" i="6"/>
  <c r="K111" i="6"/>
  <c r="R110" i="6"/>
  <c r="L110" i="6"/>
  <c r="K110" i="6"/>
  <c r="R109" i="6"/>
  <c r="L109" i="6"/>
  <c r="K109" i="6"/>
  <c r="R108" i="6"/>
  <c r="L108" i="6"/>
  <c r="K108" i="6"/>
  <c r="R107" i="6"/>
  <c r="L107" i="6"/>
  <c r="K107" i="6"/>
  <c r="R106" i="6"/>
  <c r="L106" i="6"/>
  <c r="K106" i="6"/>
  <c r="R105" i="6"/>
  <c r="L105" i="6"/>
  <c r="K105" i="6"/>
  <c r="R104" i="6"/>
  <c r="L104" i="6"/>
  <c r="K104" i="6"/>
  <c r="L103" i="6"/>
  <c r="K103" i="6"/>
  <c r="R103" i="6" s="1"/>
  <c r="R102" i="6"/>
  <c r="L102" i="6"/>
  <c r="K102" i="6"/>
  <c r="R101" i="6"/>
  <c r="L101" i="6"/>
  <c r="K101" i="6"/>
  <c r="L100" i="6"/>
  <c r="K100" i="6"/>
  <c r="R100" i="6" s="1"/>
  <c r="R99" i="6"/>
  <c r="L99" i="6"/>
  <c r="K99" i="6"/>
  <c r="R98" i="6"/>
  <c r="L98" i="6"/>
  <c r="K98" i="6"/>
  <c r="R97" i="6"/>
  <c r="L97" i="6"/>
  <c r="K97" i="6"/>
  <c r="R96" i="6"/>
  <c r="L96" i="6"/>
  <c r="K96" i="6"/>
  <c r="R95" i="6"/>
  <c r="N95" i="6"/>
  <c r="M95" i="6"/>
  <c r="O95" i="6" s="1"/>
  <c r="L95" i="6"/>
  <c r="K95" i="6"/>
  <c r="L94" i="6"/>
  <c r="K94" i="6"/>
  <c r="R94" i="6" s="1"/>
  <c r="R93" i="6"/>
  <c r="L93" i="6"/>
  <c r="K93" i="6"/>
  <c r="R92" i="6"/>
  <c r="L92" i="6"/>
  <c r="K92" i="6"/>
  <c r="R91" i="6"/>
  <c r="L91" i="6"/>
  <c r="K91" i="6"/>
  <c r="R90" i="6"/>
  <c r="L90" i="6"/>
  <c r="K90" i="6"/>
  <c r="L89" i="6"/>
  <c r="K89" i="6"/>
  <c r="R89" i="6" s="1"/>
  <c r="R88" i="6"/>
  <c r="L88" i="6"/>
  <c r="K88" i="6"/>
  <c r="R87" i="6"/>
  <c r="L87" i="6"/>
  <c r="K87" i="6"/>
  <c r="R86" i="6"/>
  <c r="L86" i="6"/>
  <c r="K86" i="6"/>
  <c r="L85" i="6"/>
  <c r="K85" i="6"/>
  <c r="R85" i="6" s="1"/>
  <c r="R84" i="6"/>
  <c r="L84" i="6"/>
  <c r="K84" i="6"/>
  <c r="R83" i="6"/>
  <c r="L83" i="6"/>
  <c r="K83" i="6"/>
  <c r="R82" i="6"/>
  <c r="L82" i="6"/>
  <c r="K82" i="6"/>
  <c r="R81" i="6"/>
  <c r="L81" i="6"/>
  <c r="K81" i="6"/>
  <c r="R80" i="6"/>
  <c r="L80" i="6"/>
  <c r="K80" i="6"/>
  <c r="R79" i="6"/>
  <c r="L79" i="6"/>
  <c r="K79" i="6"/>
  <c r="L78" i="6"/>
  <c r="K78" i="6"/>
  <c r="R78" i="6" s="1"/>
  <c r="R77" i="6"/>
  <c r="L77" i="6"/>
  <c r="K77" i="6"/>
  <c r="R76" i="6"/>
  <c r="L76" i="6"/>
  <c r="K76" i="6"/>
  <c r="R75" i="6"/>
  <c r="L75" i="6"/>
  <c r="K75" i="6"/>
  <c r="R74" i="6"/>
  <c r="L74" i="6"/>
  <c r="K74" i="6"/>
  <c r="L73" i="6"/>
  <c r="K73" i="6"/>
  <c r="R73" i="6" s="1"/>
  <c r="R72" i="6"/>
  <c r="L72" i="6"/>
  <c r="K72" i="6"/>
  <c r="R71" i="6"/>
  <c r="L71" i="6"/>
  <c r="K71" i="6"/>
  <c r="R70" i="6"/>
  <c r="L70" i="6"/>
  <c r="K70" i="6"/>
  <c r="L69" i="6"/>
  <c r="K69" i="6"/>
  <c r="R69" i="6" s="1"/>
  <c r="R68" i="6"/>
  <c r="L68" i="6"/>
  <c r="K68" i="6"/>
  <c r="R67" i="6"/>
  <c r="L67" i="6"/>
  <c r="K67" i="6"/>
  <c r="R66" i="6"/>
  <c r="L66" i="6"/>
  <c r="K66" i="6"/>
  <c r="L65" i="6"/>
  <c r="K65" i="6"/>
  <c r="R65" i="6" s="1"/>
  <c r="R64" i="6"/>
  <c r="L64" i="6"/>
  <c r="K64" i="6"/>
  <c r="R63" i="6"/>
  <c r="L63" i="6"/>
  <c r="K63" i="6"/>
  <c r="R62" i="6"/>
  <c r="L62" i="6"/>
  <c r="K62" i="6"/>
  <c r="R61" i="6"/>
  <c r="L61" i="6"/>
  <c r="K61" i="6"/>
  <c r="L60" i="6"/>
  <c r="K60" i="6"/>
  <c r="R60" i="6" s="1"/>
  <c r="R59" i="6"/>
  <c r="L59" i="6"/>
  <c r="K59" i="6"/>
  <c r="R58" i="6"/>
  <c r="L58" i="6"/>
  <c r="K58" i="6"/>
  <c r="R57" i="6"/>
  <c r="L57" i="6"/>
  <c r="K57" i="6"/>
  <c r="R56" i="6"/>
  <c r="L56" i="6"/>
  <c r="K56" i="6"/>
  <c r="R55" i="6"/>
  <c r="L55" i="6"/>
  <c r="K55" i="6"/>
  <c r="R54" i="6"/>
  <c r="N54" i="6"/>
  <c r="L54" i="6"/>
  <c r="M54" i="6" s="1"/>
  <c r="O54" i="6" s="1"/>
  <c r="K54" i="6"/>
  <c r="R53" i="6"/>
  <c r="L53" i="6"/>
  <c r="K53" i="6"/>
  <c r="R52" i="6"/>
  <c r="L52" i="6"/>
  <c r="K52" i="6"/>
  <c r="R51" i="6"/>
  <c r="L51" i="6"/>
  <c r="K51" i="6"/>
  <c r="R50" i="6"/>
  <c r="L50" i="6"/>
  <c r="K50" i="6"/>
  <c r="L49" i="6"/>
  <c r="K49" i="6"/>
  <c r="R49" i="6" s="1"/>
  <c r="R48" i="6"/>
  <c r="L48" i="6"/>
  <c r="K48" i="6"/>
  <c r="R47" i="6"/>
  <c r="L47" i="6"/>
  <c r="K47" i="6"/>
  <c r="R46" i="6"/>
  <c r="L46" i="6"/>
  <c r="K46" i="6"/>
  <c r="R45" i="6"/>
  <c r="L45" i="6"/>
  <c r="K45" i="6"/>
  <c r="R44" i="6"/>
  <c r="L44" i="6"/>
  <c r="K44" i="6"/>
  <c r="L43" i="6"/>
  <c r="K43" i="6"/>
  <c r="R43" i="6" s="1"/>
  <c r="R42" i="6"/>
  <c r="L42" i="6"/>
  <c r="K42" i="6"/>
  <c r="R41" i="6"/>
  <c r="L41" i="6"/>
  <c r="K41" i="6"/>
  <c r="R40" i="6"/>
  <c r="L40" i="6"/>
  <c r="K40" i="6"/>
  <c r="R39" i="6"/>
  <c r="L39" i="6"/>
  <c r="K39" i="6"/>
  <c r="R38" i="6"/>
  <c r="L38" i="6"/>
  <c r="K38" i="6"/>
  <c r="R37" i="6"/>
  <c r="L37" i="6"/>
  <c r="K37" i="6"/>
  <c r="R36" i="6"/>
  <c r="L36" i="6"/>
  <c r="K36" i="6"/>
  <c r="R35" i="6"/>
  <c r="L35" i="6"/>
  <c r="K35" i="6"/>
  <c r="R34" i="6"/>
  <c r="L34" i="6"/>
  <c r="K34" i="6"/>
  <c r="L33" i="6"/>
  <c r="K33" i="6"/>
  <c r="R33" i="6" s="1"/>
  <c r="R32" i="6"/>
  <c r="L32" i="6"/>
  <c r="K32" i="6"/>
  <c r="R31" i="6"/>
  <c r="L31" i="6"/>
  <c r="K31" i="6"/>
  <c r="R30" i="6"/>
  <c r="L30" i="6"/>
  <c r="K30" i="6"/>
  <c r="R29" i="6"/>
  <c r="L29" i="6"/>
  <c r="K29" i="6"/>
  <c r="L28" i="6"/>
  <c r="K28" i="6"/>
  <c r="R28" i="6" s="1"/>
  <c r="R27" i="6"/>
  <c r="L27" i="6"/>
  <c r="K27" i="6"/>
  <c r="R26" i="6"/>
  <c r="L26" i="6"/>
  <c r="K26" i="6"/>
  <c r="R25" i="6"/>
  <c r="L25" i="6"/>
  <c r="K25" i="6"/>
  <c r="L24" i="6"/>
  <c r="K24" i="6"/>
  <c r="R24" i="6" s="1"/>
  <c r="R23" i="6"/>
  <c r="L23" i="6"/>
  <c r="K23" i="6"/>
  <c r="R22" i="6"/>
  <c r="L22" i="6"/>
  <c r="K22" i="6"/>
  <c r="R21" i="6"/>
  <c r="L21" i="6"/>
  <c r="K21" i="6"/>
  <c r="R20" i="6"/>
  <c r="L20" i="6"/>
  <c r="K20" i="6"/>
  <c r="L19" i="6"/>
  <c r="K19" i="6"/>
  <c r="R19" i="6" s="1"/>
  <c r="R18" i="6"/>
  <c r="L18" i="6"/>
  <c r="K18" i="6"/>
  <c r="R17" i="6"/>
  <c r="L17" i="6"/>
  <c r="K17" i="6"/>
  <c r="R16" i="6"/>
  <c r="L16" i="6"/>
  <c r="K16" i="6"/>
  <c r="R15" i="6"/>
  <c r="L15" i="6"/>
  <c r="K15" i="6"/>
  <c r="R14" i="6"/>
  <c r="L14" i="6"/>
  <c r="K14" i="6"/>
  <c r="R13" i="6"/>
  <c r="L13" i="6"/>
  <c r="K13" i="6"/>
  <c r="R12" i="6"/>
  <c r="L12" i="6"/>
  <c r="K12" i="6"/>
  <c r="R11" i="6"/>
  <c r="L11" i="6"/>
  <c r="K11" i="6"/>
  <c r="R10" i="6"/>
  <c r="L10" i="6"/>
  <c r="K10" i="6"/>
  <c r="R9" i="6"/>
  <c r="L9" i="6"/>
  <c r="K9" i="6"/>
  <c r="L8" i="6"/>
  <c r="K8" i="6"/>
  <c r="R8" i="6" s="1"/>
  <c r="R7" i="6"/>
  <c r="L7" i="6"/>
  <c r="K7" i="6"/>
  <c r="R6" i="6"/>
  <c r="L6" i="6"/>
  <c r="K6" i="6"/>
  <c r="R5" i="6"/>
  <c r="L5" i="6"/>
  <c r="K5" i="6"/>
  <c r="R4" i="6"/>
  <c r="L4" i="6"/>
  <c r="K4" i="6"/>
  <c r="L3" i="6"/>
  <c r="K3" i="6"/>
  <c r="R3" i="6" s="1"/>
  <c r="R2" i="6"/>
  <c r="L2" i="6"/>
  <c r="K2" i="6"/>
  <c r="D26" i="7" l="1"/>
  <c r="G26" i="7"/>
  <c r="F26" i="7"/>
  <c r="H26" i="7" s="1"/>
  <c r="C26" i="7"/>
  <c r="D25" i="7"/>
  <c r="C25" i="7"/>
  <c r="G25" i="7"/>
  <c r="F25" i="7"/>
  <c r="H25" i="7" s="1"/>
  <c r="G24" i="7"/>
  <c r="F24" i="7"/>
  <c r="H24" i="7" s="1"/>
  <c r="C24" i="7"/>
  <c r="D24" i="7"/>
  <c r="G23" i="7"/>
  <c r="F23" i="7"/>
  <c r="H23" i="7" s="1"/>
  <c r="D23" i="7"/>
  <c r="C23" i="7"/>
  <c r="G22" i="7"/>
  <c r="F22" i="7"/>
  <c r="H22" i="7" s="1"/>
  <c r="D22" i="7"/>
  <c r="C22" i="7"/>
  <c r="D21" i="7"/>
  <c r="G21" i="7"/>
  <c r="F21" i="7"/>
  <c r="H21" i="7" s="1"/>
  <c r="C21" i="7"/>
  <c r="C20" i="7"/>
  <c r="G20" i="7"/>
  <c r="D20" i="7"/>
  <c r="F20" i="7"/>
  <c r="H20" i="7" s="1"/>
  <c r="G19" i="7"/>
  <c r="F19" i="7"/>
  <c r="H19" i="7" s="1"/>
  <c r="D19" i="7"/>
  <c r="C19" i="7"/>
  <c r="G18" i="7"/>
  <c r="F18" i="7"/>
  <c r="H18" i="7" s="1"/>
  <c r="D18" i="7"/>
  <c r="C18" i="7"/>
  <c r="G17" i="7"/>
  <c r="F17" i="7"/>
  <c r="H17" i="7" s="1"/>
  <c r="D17" i="7"/>
  <c r="C17" i="7"/>
  <c r="G16" i="7"/>
  <c r="F16" i="7"/>
  <c r="H16" i="7" s="1"/>
  <c r="D16" i="7"/>
  <c r="C16" i="7"/>
  <c r="G15" i="7"/>
  <c r="F15" i="7"/>
  <c r="H15" i="7" s="1"/>
  <c r="D15" i="7"/>
  <c r="C15" i="7"/>
  <c r="G14" i="7"/>
  <c r="F14" i="7"/>
  <c r="H14" i="7" s="1"/>
  <c r="D14" i="7"/>
  <c r="C14" i="7"/>
  <c r="D13" i="7"/>
  <c r="C13" i="7"/>
  <c r="G13" i="7"/>
  <c r="F13" i="7"/>
  <c r="H13" i="7" s="1"/>
  <c r="F12" i="7"/>
  <c r="G12" i="7"/>
  <c r="C12" i="7"/>
  <c r="D12" i="7"/>
  <c r="G11" i="7"/>
  <c r="F11" i="7"/>
  <c r="H11" i="7" s="1"/>
  <c r="D11" i="7"/>
  <c r="C11" i="7"/>
  <c r="F10" i="7"/>
  <c r="D10" i="7"/>
  <c r="G10" i="7"/>
  <c r="C10" i="7"/>
  <c r="C9" i="7"/>
  <c r="D9" i="7"/>
  <c r="G9" i="7"/>
  <c r="F9" i="7"/>
  <c r="H9" i="7" s="1"/>
  <c r="G8" i="7"/>
  <c r="F8" i="7"/>
  <c r="H8" i="7" s="1"/>
  <c r="D8" i="7"/>
  <c r="C8" i="7"/>
  <c r="G7" i="7"/>
  <c r="D7" i="7"/>
  <c r="C7" i="7"/>
  <c r="F7" i="7"/>
  <c r="H7" i="7" s="1"/>
  <c r="G6" i="7"/>
  <c r="D6" i="7"/>
  <c r="C6" i="7"/>
  <c r="F6" i="7"/>
  <c r="H6" i="7" s="1"/>
  <c r="G5" i="7"/>
  <c r="F5" i="7"/>
  <c r="H5" i="7" s="1"/>
  <c r="D5" i="7"/>
  <c r="C5" i="7"/>
  <c r="D4" i="7"/>
  <c r="C4" i="7"/>
  <c r="G4" i="7"/>
  <c r="F4" i="7"/>
  <c r="H4" i="7" s="1"/>
  <c r="C3" i="7"/>
  <c r="F3" i="7"/>
  <c r="H3" i="7" s="1"/>
  <c r="D3" i="7"/>
  <c r="G3" i="7"/>
  <c r="G2" i="7"/>
  <c r="F2" i="7"/>
  <c r="H2" i="7" s="1"/>
  <c r="D2" i="7"/>
  <c r="C2" i="7"/>
  <c r="M126" i="6"/>
  <c r="N126" i="6"/>
  <c r="N125" i="6"/>
  <c r="M125" i="6"/>
  <c r="N124" i="6"/>
  <c r="M124" i="6"/>
  <c r="N123" i="6"/>
  <c r="M123" i="6"/>
  <c r="O123" i="6" s="1"/>
  <c r="M122" i="6"/>
  <c r="N122" i="6"/>
  <c r="M121" i="6"/>
  <c r="O121" i="6" s="1"/>
  <c r="N121" i="6"/>
  <c r="M120" i="6"/>
  <c r="N120" i="6"/>
  <c r="N119" i="6"/>
  <c r="M119" i="6"/>
  <c r="O119" i="6" s="1"/>
  <c r="N118" i="6"/>
  <c r="M118" i="6"/>
  <c r="O118" i="6" s="1"/>
  <c r="N117" i="6"/>
  <c r="M117" i="6"/>
  <c r="N116" i="6"/>
  <c r="M116" i="6"/>
  <c r="O116" i="6" s="1"/>
  <c r="N115" i="6"/>
  <c r="M115" i="6"/>
  <c r="M114" i="6"/>
  <c r="O114" i="6" s="1"/>
  <c r="N114" i="6"/>
  <c r="N113" i="6"/>
  <c r="M113" i="6"/>
  <c r="O113" i="6" s="1"/>
  <c r="N112" i="6"/>
  <c r="M112" i="6"/>
  <c r="O112" i="6" s="1"/>
  <c r="N111" i="6"/>
  <c r="M111" i="6"/>
  <c r="M110" i="6"/>
  <c r="O110" i="6" s="1"/>
  <c r="N110" i="6"/>
  <c r="M109" i="6"/>
  <c r="N109" i="6"/>
  <c r="N108" i="6"/>
  <c r="M108" i="6"/>
  <c r="O108" i="6" s="1"/>
  <c r="N107" i="6"/>
  <c r="M107" i="6"/>
  <c r="O107" i="6" s="1"/>
  <c r="N106" i="6"/>
  <c r="M106" i="6"/>
  <c r="N105" i="6"/>
  <c r="M105" i="6"/>
  <c r="O105" i="6" s="1"/>
  <c r="N104" i="6"/>
  <c r="M104" i="6"/>
  <c r="O104" i="6" s="1"/>
  <c r="N103" i="6"/>
  <c r="M103" i="6"/>
  <c r="O103" i="6" s="1"/>
  <c r="N102" i="6"/>
  <c r="M102" i="6"/>
  <c r="O102" i="6" s="1"/>
  <c r="N101" i="6"/>
  <c r="M101" i="6"/>
  <c r="O101" i="6" s="1"/>
  <c r="N100" i="6"/>
  <c r="M100" i="6"/>
  <c r="O100" i="6" s="1"/>
  <c r="N99" i="6"/>
  <c r="M99" i="6"/>
  <c r="N98" i="6"/>
  <c r="M98" i="6"/>
  <c r="O98" i="6" s="1"/>
  <c r="N97" i="6"/>
  <c r="M97" i="6"/>
  <c r="O97" i="6" s="1"/>
  <c r="N96" i="6"/>
  <c r="M96" i="6"/>
  <c r="O96" i="6" s="1"/>
  <c r="P95" i="6"/>
  <c r="Q95" i="6"/>
  <c r="N94" i="6"/>
  <c r="M94" i="6"/>
  <c r="N93" i="6"/>
  <c r="M93" i="6"/>
  <c r="O93" i="6" s="1"/>
  <c r="N92" i="6"/>
  <c r="M92" i="6"/>
  <c r="O92" i="6" s="1"/>
  <c r="N91" i="6"/>
  <c r="M91" i="6"/>
  <c r="O91" i="6" s="1"/>
  <c r="N90" i="6"/>
  <c r="M90" i="6"/>
  <c r="N89" i="6"/>
  <c r="M89" i="6"/>
  <c r="O89" i="6" s="1"/>
  <c r="N88" i="6"/>
  <c r="M88" i="6"/>
  <c r="O88" i="6" s="1"/>
  <c r="N87" i="6"/>
  <c r="M87" i="6"/>
  <c r="N86" i="6"/>
  <c r="M86" i="6"/>
  <c r="N85" i="6"/>
  <c r="M85" i="6"/>
  <c r="O85" i="6" s="1"/>
  <c r="N84" i="6"/>
  <c r="M84" i="6"/>
  <c r="O84" i="6" s="1"/>
  <c r="M83" i="6"/>
  <c r="O83" i="6" s="1"/>
  <c r="N83" i="6"/>
  <c r="M82" i="6"/>
  <c r="N82" i="6"/>
  <c r="M81" i="6"/>
  <c r="N81" i="6"/>
  <c r="N80" i="6"/>
  <c r="M80" i="6"/>
  <c r="O80" i="6" s="1"/>
  <c r="N79" i="6"/>
  <c r="M79" i="6"/>
  <c r="O79" i="6" s="1"/>
  <c r="N78" i="6"/>
  <c r="M78" i="6"/>
  <c r="O78" i="6" s="1"/>
  <c r="N77" i="6"/>
  <c r="M77" i="6"/>
  <c r="O77" i="6" s="1"/>
  <c r="N76" i="6"/>
  <c r="M76" i="6"/>
  <c r="O76" i="6" s="1"/>
  <c r="N75" i="6"/>
  <c r="M75" i="6"/>
  <c r="O75" i="6" s="1"/>
  <c r="M74" i="6"/>
  <c r="N74" i="6"/>
  <c r="M73" i="6"/>
  <c r="N73" i="6"/>
  <c r="M72" i="6"/>
  <c r="N72" i="6"/>
  <c r="M71" i="6"/>
  <c r="N71" i="6"/>
  <c r="M70" i="6"/>
  <c r="N70" i="6"/>
  <c r="M69" i="6"/>
  <c r="N69" i="6"/>
  <c r="M68" i="6"/>
  <c r="N68" i="6"/>
  <c r="N67" i="6"/>
  <c r="M67" i="6"/>
  <c r="O67" i="6" s="1"/>
  <c r="N66" i="6"/>
  <c r="M66" i="6"/>
  <c r="O66" i="6" s="1"/>
  <c r="N65" i="6"/>
  <c r="M65" i="6"/>
  <c r="O65" i="6" s="1"/>
  <c r="M64" i="6"/>
  <c r="N64" i="6"/>
  <c r="N63" i="6"/>
  <c r="M63" i="6"/>
  <c r="O63" i="6" s="1"/>
  <c r="M62" i="6"/>
  <c r="N62" i="6"/>
  <c r="M61" i="6"/>
  <c r="N61" i="6"/>
  <c r="M60" i="6"/>
  <c r="N60" i="6"/>
  <c r="N59" i="6"/>
  <c r="M59" i="6"/>
  <c r="O59" i="6" s="1"/>
  <c r="M58" i="6"/>
  <c r="O58" i="6" s="1"/>
  <c r="N58" i="6"/>
  <c r="N57" i="6"/>
  <c r="M57" i="6"/>
  <c r="O57" i="6" s="1"/>
  <c r="M56" i="6"/>
  <c r="N56" i="6"/>
  <c r="M55" i="6"/>
  <c r="N55" i="6"/>
  <c r="P54" i="6"/>
  <c r="Q54" i="6"/>
  <c r="M53" i="6"/>
  <c r="N53" i="6"/>
  <c r="M52" i="6"/>
  <c r="O52" i="6" s="1"/>
  <c r="N52" i="6"/>
  <c r="M51" i="6"/>
  <c r="N51" i="6"/>
  <c r="M50" i="6"/>
  <c r="N50" i="6"/>
  <c r="N49" i="6"/>
  <c r="M49" i="6"/>
  <c r="O49" i="6" s="1"/>
  <c r="M48" i="6"/>
  <c r="N48" i="6"/>
  <c r="N47" i="6"/>
  <c r="M47" i="6"/>
  <c r="O47" i="6" s="1"/>
  <c r="M46" i="6"/>
  <c r="N46" i="6"/>
  <c r="M45" i="6"/>
  <c r="N45" i="6"/>
  <c r="N44" i="6"/>
  <c r="M44" i="6"/>
  <c r="O44" i="6" s="1"/>
  <c r="N43" i="6"/>
  <c r="M43" i="6"/>
  <c r="O43" i="6" s="1"/>
  <c r="N42" i="6"/>
  <c r="M42" i="6"/>
  <c r="O42" i="6" s="1"/>
  <c r="M41" i="6"/>
  <c r="N41" i="6"/>
  <c r="N40" i="6"/>
  <c r="M40" i="6"/>
  <c r="O40" i="6" s="1"/>
  <c r="N39" i="6"/>
  <c r="M39" i="6"/>
  <c r="O39" i="6" s="1"/>
  <c r="M38" i="6"/>
  <c r="N38" i="6"/>
  <c r="N37" i="6"/>
  <c r="M37" i="6"/>
  <c r="O37" i="6" s="1"/>
  <c r="M36" i="6"/>
  <c r="N36" i="6"/>
  <c r="M35" i="6"/>
  <c r="N35" i="6"/>
  <c r="M34" i="6"/>
  <c r="N34" i="6"/>
  <c r="M33" i="6"/>
  <c r="N33" i="6"/>
  <c r="M32" i="6"/>
  <c r="N32" i="6"/>
  <c r="M31" i="6"/>
  <c r="N31" i="6"/>
  <c r="N30" i="6"/>
  <c r="M30" i="6"/>
  <c r="O30" i="6" s="1"/>
  <c r="N29" i="6"/>
  <c r="M29" i="6"/>
  <c r="O29" i="6" s="1"/>
  <c r="M28" i="6"/>
  <c r="N28" i="6"/>
  <c r="M27" i="6"/>
  <c r="N27" i="6"/>
  <c r="N26" i="6"/>
  <c r="M26" i="6"/>
  <c r="O26" i="6" s="1"/>
  <c r="N25" i="6"/>
  <c r="M25" i="6"/>
  <c r="O25" i="6" s="1"/>
  <c r="N24" i="6"/>
  <c r="M24" i="6"/>
  <c r="O24" i="6" s="1"/>
  <c r="M23" i="6"/>
  <c r="N23" i="6"/>
  <c r="M22" i="6"/>
  <c r="N22" i="6"/>
  <c r="M21" i="6"/>
  <c r="N21" i="6"/>
  <c r="M20" i="6"/>
  <c r="N20" i="6"/>
  <c r="N19" i="6"/>
  <c r="M19" i="6"/>
  <c r="O19" i="6" s="1"/>
  <c r="N18" i="6"/>
  <c r="M18" i="6"/>
  <c r="O18" i="6" s="1"/>
  <c r="M17" i="6"/>
  <c r="N17" i="6"/>
  <c r="N16" i="6"/>
  <c r="M16" i="6"/>
  <c r="O16" i="6" s="1"/>
  <c r="N15" i="6"/>
  <c r="M15" i="6"/>
  <c r="O15" i="6" s="1"/>
  <c r="N14" i="6"/>
  <c r="M14" i="6"/>
  <c r="O14" i="6" s="1"/>
  <c r="N13" i="6"/>
  <c r="M13" i="6"/>
  <c r="O13" i="6" s="1"/>
  <c r="N12" i="6"/>
  <c r="M12" i="6"/>
  <c r="O12" i="6" s="1"/>
  <c r="N11" i="6"/>
  <c r="M11" i="6"/>
  <c r="O11" i="6" s="1"/>
  <c r="N10" i="6"/>
  <c r="M10" i="6"/>
  <c r="O10" i="6" s="1"/>
  <c r="N9" i="6"/>
  <c r="M9" i="6"/>
  <c r="O9" i="6" s="1"/>
  <c r="N8" i="6"/>
  <c r="M8" i="6"/>
  <c r="O8" i="6" s="1"/>
  <c r="N7" i="6"/>
  <c r="M7" i="6"/>
  <c r="O7" i="6" s="1"/>
  <c r="M6" i="6"/>
  <c r="N6" i="6"/>
  <c r="N5" i="6"/>
  <c r="M5" i="6"/>
  <c r="O5" i="6" s="1"/>
  <c r="N4" i="6"/>
  <c r="M4" i="6"/>
  <c r="O4" i="6" s="1"/>
  <c r="N3" i="6"/>
  <c r="M3" i="6"/>
  <c r="O3" i="6" s="1"/>
  <c r="B6" i="8"/>
  <c r="C6" i="8"/>
  <c r="N2" i="6"/>
  <c r="M2" i="6"/>
  <c r="E26" i="7" l="1"/>
  <c r="L26" i="7"/>
  <c r="E25" i="7"/>
  <c r="L25" i="7"/>
  <c r="E24" i="7"/>
  <c r="L24" i="7"/>
  <c r="E23" i="7"/>
  <c r="L23" i="7"/>
  <c r="E22" i="7"/>
  <c r="L22" i="7"/>
  <c r="E21" i="7"/>
  <c r="L21" i="7"/>
  <c r="L20" i="7"/>
  <c r="E20" i="7"/>
  <c r="E19" i="7"/>
  <c r="L19" i="7"/>
  <c r="E18" i="7"/>
  <c r="L18" i="7"/>
  <c r="E17" i="7"/>
  <c r="L17" i="7"/>
  <c r="E16" i="7"/>
  <c r="L16" i="7"/>
  <c r="E15" i="7"/>
  <c r="L15" i="7"/>
  <c r="E14" i="7"/>
  <c r="L14" i="7"/>
  <c r="E13" i="7"/>
  <c r="L13" i="7"/>
  <c r="E12" i="7"/>
  <c r="L12" i="7"/>
  <c r="E11" i="7"/>
  <c r="L11" i="7"/>
  <c r="E10" i="7"/>
  <c r="L10" i="7"/>
  <c r="E9" i="7"/>
  <c r="L9" i="7"/>
  <c r="E8" i="7"/>
  <c r="L8" i="7"/>
  <c r="E7" i="7"/>
  <c r="L7" i="7"/>
  <c r="E6" i="7"/>
  <c r="L6" i="7"/>
  <c r="E5" i="7"/>
  <c r="L5" i="7"/>
  <c r="E4" i="7"/>
  <c r="L4" i="7"/>
  <c r="E3" i="7"/>
  <c r="L3" i="7"/>
  <c r="E2" i="7"/>
  <c r="L2" i="7"/>
  <c r="P123" i="6"/>
  <c r="Q123" i="6"/>
  <c r="P121" i="6"/>
  <c r="Q121" i="6"/>
  <c r="P119" i="6"/>
  <c r="Q119" i="6"/>
  <c r="P118" i="6"/>
  <c r="Q118" i="6"/>
  <c r="P116" i="6"/>
  <c r="Q116" i="6"/>
  <c r="P114" i="6"/>
  <c r="Q114" i="6"/>
  <c r="P113" i="6"/>
  <c r="Q113" i="6"/>
  <c r="P112" i="6"/>
  <c r="Q112" i="6"/>
  <c r="P110" i="6"/>
  <c r="Q110" i="6"/>
  <c r="P108" i="6"/>
  <c r="Q108" i="6"/>
  <c r="P107" i="6"/>
  <c r="Q107" i="6"/>
  <c r="P105" i="6"/>
  <c r="Q105" i="6"/>
  <c r="P104" i="6"/>
  <c r="Q104" i="6"/>
  <c r="P103" i="6"/>
  <c r="Q103" i="6"/>
  <c r="P102" i="6"/>
  <c r="Q102" i="6"/>
  <c r="P101" i="6"/>
  <c r="Q101" i="6"/>
  <c r="P100" i="6"/>
  <c r="Q100" i="6"/>
  <c r="P98" i="6"/>
  <c r="Q98" i="6"/>
  <c r="P97" i="6"/>
  <c r="Q97" i="6"/>
  <c r="P96" i="6"/>
  <c r="Q96" i="6"/>
  <c r="P93" i="6"/>
  <c r="Q93" i="6"/>
  <c r="P92" i="6"/>
  <c r="Q92" i="6"/>
  <c r="P91" i="6"/>
  <c r="Q91" i="6"/>
  <c r="P89" i="6"/>
  <c r="Q89" i="6"/>
  <c r="P88" i="6"/>
  <c r="Q88" i="6"/>
  <c r="P85" i="6"/>
  <c r="Q85" i="6"/>
  <c r="P84" i="6"/>
  <c r="Q84" i="6"/>
  <c r="P83" i="6"/>
  <c r="Q83" i="6"/>
  <c r="P80" i="6"/>
  <c r="Q80" i="6"/>
  <c r="P79" i="6"/>
  <c r="Q79" i="6"/>
  <c r="P78" i="6"/>
  <c r="Q78" i="6"/>
  <c r="P77" i="6"/>
  <c r="Q77" i="6"/>
  <c r="P76" i="6"/>
  <c r="Q76" i="6"/>
  <c r="P75" i="6"/>
  <c r="Q75" i="6"/>
  <c r="P67" i="6"/>
  <c r="Q67" i="6"/>
  <c r="P66" i="6"/>
  <c r="Q66" i="6"/>
  <c r="P65" i="6"/>
  <c r="Q65" i="6"/>
  <c r="P63" i="6"/>
  <c r="Q63" i="6"/>
  <c r="P59" i="6"/>
  <c r="Q59" i="6"/>
  <c r="P58" i="6"/>
  <c r="Q58" i="6"/>
  <c r="P57" i="6"/>
  <c r="Q57" i="6"/>
  <c r="P52" i="6"/>
  <c r="Q52" i="6"/>
  <c r="P49" i="6"/>
  <c r="Q49" i="6"/>
  <c r="P47" i="6"/>
  <c r="Q47" i="6"/>
  <c r="P44" i="6"/>
  <c r="Q44" i="6"/>
  <c r="P43" i="6"/>
  <c r="Q43" i="6"/>
  <c r="P42" i="6"/>
  <c r="Q42" i="6"/>
  <c r="P40" i="6"/>
  <c r="Q40" i="6"/>
  <c r="P39" i="6"/>
  <c r="Q39" i="6"/>
  <c r="P37" i="6"/>
  <c r="Q37" i="6"/>
  <c r="P30" i="6"/>
  <c r="Q30" i="6"/>
  <c r="P29" i="6"/>
  <c r="Q29" i="6"/>
  <c r="P26" i="6"/>
  <c r="Q26" i="6"/>
  <c r="P25" i="6"/>
  <c r="Q25" i="6"/>
  <c r="P24" i="6"/>
  <c r="Q24" i="6"/>
  <c r="Q19" i="6"/>
  <c r="P19" i="6"/>
  <c r="Q18" i="6"/>
  <c r="P18" i="6"/>
  <c r="P16" i="6"/>
  <c r="Q16" i="6"/>
  <c r="Q15" i="6"/>
  <c r="P15" i="6"/>
  <c r="P14" i="6"/>
  <c r="Q14" i="6"/>
  <c r="P13" i="6"/>
  <c r="Q13" i="6"/>
  <c r="P12" i="6"/>
  <c r="Q12" i="6"/>
  <c r="P11" i="6"/>
  <c r="Q11" i="6"/>
  <c r="P10" i="6"/>
  <c r="Q10" i="6"/>
  <c r="P9" i="6"/>
  <c r="Q9" i="6"/>
  <c r="P8" i="6"/>
  <c r="Q8" i="6"/>
  <c r="P7" i="6"/>
  <c r="Q7" i="6"/>
  <c r="P5" i="6"/>
  <c r="Q5" i="6"/>
  <c r="P4" i="6"/>
  <c r="Q4" i="6"/>
  <c r="P3" i="6"/>
  <c r="Q3" i="6"/>
  <c r="H12" i="7"/>
  <c r="H10" i="7"/>
  <c r="O122" i="6"/>
  <c r="O115" i="6"/>
  <c r="O90" i="6"/>
  <c r="O86" i="6"/>
  <c r="O82" i="6"/>
  <c r="O81" i="6"/>
  <c r="O74" i="6"/>
  <c r="O73" i="6"/>
  <c r="O72" i="6"/>
  <c r="O71" i="6"/>
  <c r="O70" i="6"/>
  <c r="O69" i="6"/>
  <c r="O68" i="6"/>
  <c r="O64" i="6"/>
  <c r="O62" i="6"/>
  <c r="O61" i="6"/>
  <c r="O60" i="6"/>
  <c r="O51" i="6"/>
  <c r="O50" i="6"/>
  <c r="O48" i="6"/>
  <c r="O46" i="6"/>
  <c r="O45" i="6"/>
  <c r="O41" i="6"/>
  <c r="O125" i="6"/>
  <c r="O120" i="6"/>
  <c r="O111" i="6"/>
  <c r="O109" i="6"/>
  <c r="O56" i="6"/>
  <c r="O55" i="6"/>
  <c r="O53" i="6"/>
  <c r="O126" i="6"/>
  <c r="O117" i="6"/>
  <c r="O38" i="6"/>
  <c r="O36" i="6"/>
  <c r="O35" i="6"/>
  <c r="O34" i="6"/>
  <c r="O33" i="6"/>
  <c r="O32" i="6"/>
  <c r="O31" i="6"/>
  <c r="O28" i="6"/>
  <c r="O27" i="6"/>
  <c r="O23" i="6"/>
  <c r="O22" i="6"/>
  <c r="O21" i="6"/>
  <c r="O20" i="6"/>
  <c r="O17" i="6"/>
  <c r="O2" i="6"/>
  <c r="O124" i="6"/>
  <c r="O106" i="6"/>
  <c r="O99" i="6"/>
  <c r="O94" i="6"/>
  <c r="O87" i="6"/>
  <c r="O6" i="6"/>
  <c r="B7" i="8" l="1"/>
  <c r="C7" i="8"/>
  <c r="B9" i="8"/>
  <c r="C9" i="8"/>
  <c r="Q122" i="6"/>
  <c r="P122" i="6"/>
  <c r="Q115" i="6"/>
  <c r="P115" i="6"/>
  <c r="Q90" i="6"/>
  <c r="P90" i="6"/>
  <c r="Q86" i="6"/>
  <c r="P86" i="6"/>
  <c r="Q82" i="6"/>
  <c r="P82" i="6"/>
  <c r="Q81" i="6"/>
  <c r="P81" i="6"/>
  <c r="Q74" i="6"/>
  <c r="P74" i="6"/>
  <c r="Q73" i="6"/>
  <c r="P73" i="6"/>
  <c r="Q72" i="6"/>
  <c r="P72" i="6"/>
  <c r="Q71" i="6"/>
  <c r="P71" i="6"/>
  <c r="Q70" i="6"/>
  <c r="P70" i="6"/>
  <c r="Q69" i="6"/>
  <c r="P69" i="6"/>
  <c r="Q68" i="6"/>
  <c r="P68" i="6"/>
  <c r="Q64" i="6"/>
  <c r="P64" i="6"/>
  <c r="Q62" i="6"/>
  <c r="P62" i="6"/>
  <c r="Q61" i="6"/>
  <c r="P61" i="6"/>
  <c r="Q60" i="6"/>
  <c r="P60" i="6"/>
  <c r="Q51" i="6"/>
  <c r="P51" i="6"/>
  <c r="Q50" i="6"/>
  <c r="P50" i="6"/>
  <c r="Q48" i="6"/>
  <c r="P48" i="6"/>
  <c r="Q46" i="6"/>
  <c r="P46" i="6"/>
  <c r="Q45" i="6"/>
  <c r="P45" i="6"/>
  <c r="Q41" i="6"/>
  <c r="P41" i="6"/>
  <c r="Q125" i="6"/>
  <c r="P125" i="6"/>
  <c r="Q120" i="6"/>
  <c r="P120" i="6"/>
  <c r="Q111" i="6"/>
  <c r="P111" i="6"/>
  <c r="Q109" i="6"/>
  <c r="P109" i="6"/>
  <c r="Q56" i="6"/>
  <c r="P56" i="6"/>
  <c r="Q55" i="6"/>
  <c r="P55" i="6"/>
  <c r="Q53" i="6"/>
  <c r="P53" i="6"/>
  <c r="Q126" i="6"/>
  <c r="P126" i="6"/>
  <c r="Q117" i="6"/>
  <c r="P117" i="6"/>
  <c r="Q38" i="6"/>
  <c r="P38" i="6"/>
  <c r="Q36" i="6"/>
  <c r="P36" i="6"/>
  <c r="Q35" i="6"/>
  <c r="P35" i="6"/>
  <c r="Q34" i="6"/>
  <c r="P34" i="6"/>
  <c r="Q33" i="6"/>
  <c r="P33" i="6"/>
  <c r="Q32" i="6"/>
  <c r="P32" i="6"/>
  <c r="Q31" i="6"/>
  <c r="P31" i="6"/>
  <c r="Q28" i="6"/>
  <c r="P28" i="6"/>
  <c r="Q27" i="6"/>
  <c r="P27" i="6"/>
  <c r="Q23" i="6"/>
  <c r="P23" i="6"/>
  <c r="Q22" i="6"/>
  <c r="P22" i="6"/>
  <c r="Q21" i="6"/>
  <c r="P21" i="6"/>
  <c r="Q20" i="6"/>
  <c r="P20" i="6"/>
  <c r="Q17" i="6"/>
  <c r="P17" i="6"/>
  <c r="B2" i="8"/>
  <c r="Q2" i="6"/>
  <c r="P2" i="6"/>
  <c r="Q124" i="6"/>
  <c r="P124" i="6"/>
  <c r="Q106" i="6"/>
  <c r="P106" i="6"/>
  <c r="Q99" i="6"/>
  <c r="P99" i="6"/>
  <c r="Q94" i="6"/>
  <c r="P94" i="6"/>
  <c r="Q87" i="6"/>
  <c r="P87" i="6"/>
  <c r="Q6" i="6"/>
  <c r="P6" i="6"/>
  <c r="B8" i="8"/>
  <c r="C8" i="8"/>
  <c r="B5" i="8" l="1"/>
  <c r="C5" i="8"/>
  <c r="B3" i="8"/>
  <c r="C4" i="8"/>
  <c r="B4" i="8"/>
  <c r="C3" i="8"/>
</calcChain>
</file>

<file path=xl/sharedStrings.xml><?xml version="1.0" encoding="utf-8"?>
<sst xmlns="http://schemas.openxmlformats.org/spreadsheetml/2006/main" count="885" uniqueCount="130">
  <si>
    <t>1. When a rater file comes back, copy its 'Ratings' cells D3:U27 into the same cells of sheet R1, R2 or R3 (Paste Special &gt; Values), and type the rater's booklet language in cell B30 of that sheet.</t>
  </si>
  <si>
    <t>2. 'Features' decodes A/B into original/rewrite for every pair × feature and compares the human means with Qwen. 'Quality' does the same for coherence, acceptability and the Same/Partly/Different items.</t>
  </si>
  <si>
    <t>3. 'Summary' shows the main results. Correlations and inter-rater reliability are computed by the analysis script.</t>
  </si>
  <si>
    <t>Pair</t>
  </si>
  <si>
    <t>Pair ID</t>
  </si>
  <si>
    <t>Film</t>
  </si>
  <si>
    <t>Task</t>
  </si>
  <si>
    <t>Scene position</t>
  </si>
  <si>
    <t>Target feature</t>
  </si>
  <si>
    <t>Original shown as</t>
  </si>
  <si>
    <t>Rewrite shown as</t>
  </si>
  <si>
    <t>01</t>
  </si>
  <si>
    <t>HE-e303ecb81cfd</t>
  </si>
  <si>
    <t>Ghostbusters II</t>
  </si>
  <si>
    <t>v5_T0108</t>
  </si>
  <si>
    <t>Dialogue Density</t>
  </si>
  <si>
    <t>B</t>
  </si>
  <si>
    <t>A</t>
  </si>
  <si>
    <t>02</t>
  </si>
  <si>
    <t>HE-cb4843e61769</t>
  </si>
  <si>
    <t>03</t>
  </si>
  <si>
    <t>HE-41d39a1b0d34</t>
  </si>
  <si>
    <t>04</t>
  </si>
  <si>
    <t>HE-f3e48b301237</t>
  </si>
  <si>
    <t>The Private Life of Sherlock Holmes</t>
  </si>
  <si>
    <t>v5_T0129</t>
  </si>
  <si>
    <t>Action Density</t>
  </si>
  <si>
    <t>05</t>
  </si>
  <si>
    <t>HE-9b53a614098d</t>
  </si>
  <si>
    <t>06</t>
  </si>
  <si>
    <t>HE-02976e0045d3</t>
  </si>
  <si>
    <t>07</t>
  </si>
  <si>
    <t>HE-774e675404e7</t>
  </si>
  <si>
    <t>08</t>
  </si>
  <si>
    <t>HE-14dd09a43c06</t>
  </si>
  <si>
    <t>Dog Day Afternoon</t>
  </si>
  <si>
    <t>v5_T0165</t>
  </si>
  <si>
    <t>Character Interaction</t>
  </si>
  <si>
    <t>09</t>
  </si>
  <si>
    <t>HE-45a1ac107489</t>
  </si>
  <si>
    <t>10</t>
  </si>
  <si>
    <t>HE-6afe294dcb70</t>
  </si>
  <si>
    <t>11</t>
  </si>
  <si>
    <t>HE-dfb1e02458b2</t>
  </si>
  <si>
    <t>12</t>
  </si>
  <si>
    <t>HE-cfb4d616ddee</t>
  </si>
  <si>
    <t>13</t>
  </si>
  <si>
    <t>HE-45f75a06719e</t>
  </si>
  <si>
    <t>14</t>
  </si>
  <si>
    <t>HE-d808d83c99a2</t>
  </si>
  <si>
    <t>15</t>
  </si>
  <si>
    <t>HE-9191e879a72c</t>
  </si>
  <si>
    <t>16</t>
  </si>
  <si>
    <t>HE-bd46080d8e11</t>
  </si>
  <si>
    <t>17</t>
  </si>
  <si>
    <t>HE-8e73e219fbb9</t>
  </si>
  <si>
    <t>18</t>
  </si>
  <si>
    <t>HE-15dab9f7ed68</t>
  </si>
  <si>
    <t>19</t>
  </si>
  <si>
    <t>HE-9ebbf47e657d</t>
  </si>
  <si>
    <t>20</t>
  </si>
  <si>
    <t>HE-84c122d8ccfe</t>
  </si>
  <si>
    <t>21</t>
  </si>
  <si>
    <t>HE-ecfe7daba563</t>
  </si>
  <si>
    <t>22</t>
  </si>
  <si>
    <t>HE-25063d128982</t>
  </si>
  <si>
    <t>23</t>
  </si>
  <si>
    <t>HE-114c8c2a1a51</t>
  </si>
  <si>
    <t>24</t>
  </si>
  <si>
    <t>HE-0700f39d9ae1</t>
  </si>
  <si>
    <t>25</t>
  </si>
  <si>
    <t>HE-cc501e92c91a</t>
  </si>
  <si>
    <t>Same / Partly / Different</t>
  </si>
  <si>
    <t>No.</t>
  </si>
  <si>
    <t>Pacing</t>
  </si>
  <si>
    <t>Dialogue</t>
  </si>
  <si>
    <t>Action</t>
  </si>
  <si>
    <t>Interaction</t>
  </si>
  <si>
    <t>Emotion</t>
  </si>
  <si>
    <t>Characters</t>
  </si>
  <si>
    <t>Setting</t>
  </si>
  <si>
    <t>Events</t>
  </si>
  <si>
    <t>Coherence
A</t>
  </si>
  <si>
    <t>Coherence
B</t>
  </si>
  <si>
    <t>Acceptability
A</t>
  </si>
  <si>
    <t>Acceptability
B</t>
  </si>
  <si>
    <t>Note</t>
  </si>
  <si>
    <t>Booklet language</t>
  </si>
  <si>
    <t>Feature</t>
  </si>
  <si>
    <t>Feat
#</t>
  </si>
  <si>
    <t>Target
feature</t>
  </si>
  <si>
    <t>Target</t>
  </si>
  <si>
    <t>Qwen
Original</t>
  </si>
  <si>
    <t>Qwen
Rewrite</t>
  </si>
  <si>
    <t>Qwen
change</t>
  </si>
  <si>
    <t>Original
shown as</t>
  </si>
  <si>
    <t>Human
Original (mean)</t>
  </si>
  <si>
    <t>Human
Rewrite (mean)</t>
  </si>
  <si>
    <t>Human
change</t>
  </si>
  <si>
    <t>Direction
agrees (1/0)</t>
  </si>
  <si>
    <t>Human toward
target (1/0)</t>
  </si>
  <si>
    <t>Qwen toward
target (1/0)</t>
  </si>
  <si>
    <t>Y</t>
  </si>
  <si>
    <t>Emotion Intensity</t>
  </si>
  <si>
    <t>Coherence
Original</t>
  </si>
  <si>
    <t>Coherence
Rewrite</t>
  </si>
  <si>
    <t>Coherence
Rew − Orig</t>
  </si>
  <si>
    <t>Acceptability
Original</t>
  </si>
  <si>
    <t>Acceptability
Rewrite</t>
  </si>
  <si>
    <t>Acceptability
Rew − Orig</t>
  </si>
  <si>
    <t>Characters:
# Different</t>
  </si>
  <si>
    <t>Setting:
# Different</t>
  </si>
  <si>
    <t>Events:
# Different</t>
  </si>
  <si>
    <t>Content changed
(≥2 raters, 1/0)</t>
  </si>
  <si>
    <t>Measure</t>
  </si>
  <si>
    <t>Value</t>
  </si>
  <si>
    <t>N</t>
  </si>
  <si>
    <t>Feature rows with a human rating (of 125)</t>
  </si>
  <si>
    <t>Direction agreement with Qwen, target feature</t>
  </si>
  <si>
    <t>Direction agreement with Qwen, all five features</t>
  </si>
  <si>
    <t>Humans see the rewrite move toward the target</t>
  </si>
  <si>
    <t>Qwen sees the rewrite move toward the target (same 25 scenes)</t>
  </si>
  <si>
    <t>Mean coherence, rewrite minus original (1–5 scale)</t>
  </si>
  <si>
    <t>Mean acceptability, rewrite minus original (1–5 scale)</t>
  </si>
  <si>
    <t>Pairs where content changed (≥2 raters chose Different on any item)</t>
  </si>
  <si>
    <t>RESEARCHER ONLY: DO NOT SHARE WITH RATERS</t>
  </si>
  <si>
    <t>Blinding: in each booklet the original scene is shown as Version A or Version B according to sheet 'Blinding key' (balanced 13 A / 12 B, seed 42).</t>
  </si>
  <si>
    <t>Version A: Features (0-10)</t>
  </si>
  <si>
    <t>Version B: Features (0-10)</t>
  </si>
  <si>
    <t>Quality (1, 3,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</si>
</sst>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0;\-0.00;0.0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C0000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7" borderId="1" xfId="0" applyFont="1" applyFill="1" applyBorder="1" applyAlignment="1">
      <alignment horizontal="left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2" fontId="2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7E6E6"/>
      <rgbColor rgb="FFFFFF99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zoomScaleNormal="100" workbookViewId="0">
      <selection activeCell="A14" sqref="A14"/>
    </sheetView>
  </sheetViews>
  <sheetFormatPr defaultColWidth="8.6640625" defaultRowHeight="14.4" x14ac:dyDescent="0.3"/>
  <cols>
    <col min="1" max="1" width="125" customWidth="1"/>
  </cols>
  <sheetData>
    <row r="1" spans="1:1" x14ac:dyDescent="0.3">
      <c r="A1" s="6" t="s">
        <v>125</v>
      </c>
    </row>
    <row r="2" spans="1:1" x14ac:dyDescent="0.3">
      <c r="A2" s="7" t="s">
        <v>126</v>
      </c>
    </row>
    <row r="3" spans="1:1" ht="26.4" x14ac:dyDescent="0.3">
      <c r="A3" s="7" t="s">
        <v>0</v>
      </c>
    </row>
    <row r="4" spans="1:1" ht="26.4" x14ac:dyDescent="0.3">
      <c r="A4" s="7" t="s">
        <v>1</v>
      </c>
    </row>
    <row r="5" spans="1:1" x14ac:dyDescent="0.3">
      <c r="A5" s="7" t="s">
        <v>2</v>
      </c>
    </row>
    <row r="6" spans="1:1" x14ac:dyDescent="0.3">
      <c r="A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17" customWidth="1"/>
    <col min="3" max="3" width="30" customWidth="1"/>
    <col min="4" max="4" width="10" customWidth="1"/>
    <col min="5" max="5" width="9" customWidth="1"/>
    <col min="6" max="6" width="22" customWidth="1"/>
    <col min="7" max="8" width="12" customWidth="1"/>
  </cols>
  <sheetData>
    <row r="1" spans="1:8" ht="26.4" x14ac:dyDescent="0.3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</row>
    <row r="2" spans="1:8" x14ac:dyDescent="0.3">
      <c r="A2" s="10" t="s">
        <v>11</v>
      </c>
      <c r="B2" s="10" t="s">
        <v>12</v>
      </c>
      <c r="C2" s="11" t="s">
        <v>13</v>
      </c>
      <c r="D2" s="10" t="s">
        <v>14</v>
      </c>
      <c r="E2" s="10">
        <v>7</v>
      </c>
      <c r="F2" s="11" t="s">
        <v>15</v>
      </c>
      <c r="G2" s="12" t="s">
        <v>16</v>
      </c>
      <c r="H2" s="12" t="s">
        <v>17</v>
      </c>
    </row>
    <row r="3" spans="1:8" x14ac:dyDescent="0.3">
      <c r="A3" s="10" t="s">
        <v>18</v>
      </c>
      <c r="B3" s="10" t="s">
        <v>19</v>
      </c>
      <c r="C3" s="11" t="s">
        <v>13</v>
      </c>
      <c r="D3" s="10" t="s">
        <v>14</v>
      </c>
      <c r="E3" s="10">
        <v>9</v>
      </c>
      <c r="F3" s="11" t="s">
        <v>15</v>
      </c>
      <c r="G3" s="12" t="s">
        <v>17</v>
      </c>
      <c r="H3" s="12" t="s">
        <v>16</v>
      </c>
    </row>
    <row r="4" spans="1:8" x14ac:dyDescent="0.3">
      <c r="A4" s="10" t="s">
        <v>20</v>
      </c>
      <c r="B4" s="10" t="s">
        <v>21</v>
      </c>
      <c r="C4" s="11" t="s">
        <v>13</v>
      </c>
      <c r="D4" s="10" t="s">
        <v>14</v>
      </c>
      <c r="E4" s="10">
        <v>1</v>
      </c>
      <c r="F4" s="11" t="s">
        <v>15</v>
      </c>
      <c r="G4" s="12" t="s">
        <v>17</v>
      </c>
      <c r="H4" s="12" t="s">
        <v>16</v>
      </c>
    </row>
    <row r="5" spans="1:8" ht="26.4" x14ac:dyDescent="0.3">
      <c r="A5" s="10" t="s">
        <v>22</v>
      </c>
      <c r="B5" s="10" t="s">
        <v>23</v>
      </c>
      <c r="C5" s="11" t="s">
        <v>24</v>
      </c>
      <c r="D5" s="10" t="s">
        <v>25</v>
      </c>
      <c r="E5" s="10">
        <v>6</v>
      </c>
      <c r="F5" s="11" t="s">
        <v>26</v>
      </c>
      <c r="G5" s="12" t="s">
        <v>16</v>
      </c>
      <c r="H5" s="12" t="s">
        <v>17</v>
      </c>
    </row>
    <row r="6" spans="1:8" ht="26.4" x14ac:dyDescent="0.3">
      <c r="A6" s="10" t="s">
        <v>27</v>
      </c>
      <c r="B6" s="10" t="s">
        <v>28</v>
      </c>
      <c r="C6" s="11" t="s">
        <v>24</v>
      </c>
      <c r="D6" s="10" t="s">
        <v>25</v>
      </c>
      <c r="E6" s="10">
        <v>7</v>
      </c>
      <c r="F6" s="11" t="s">
        <v>26</v>
      </c>
      <c r="G6" s="12" t="s">
        <v>16</v>
      </c>
      <c r="H6" s="12" t="s">
        <v>17</v>
      </c>
    </row>
    <row r="7" spans="1:8" x14ac:dyDescent="0.3">
      <c r="A7" s="10" t="s">
        <v>29</v>
      </c>
      <c r="B7" s="10" t="s">
        <v>30</v>
      </c>
      <c r="C7" s="11" t="s">
        <v>13</v>
      </c>
      <c r="D7" s="10" t="s">
        <v>14</v>
      </c>
      <c r="E7" s="10">
        <v>4</v>
      </c>
      <c r="F7" s="11" t="s">
        <v>15</v>
      </c>
      <c r="G7" s="12" t="s">
        <v>17</v>
      </c>
      <c r="H7" s="12" t="s">
        <v>16</v>
      </c>
    </row>
    <row r="8" spans="1:8" x14ac:dyDescent="0.3">
      <c r="A8" s="10" t="s">
        <v>31</v>
      </c>
      <c r="B8" s="10" t="s">
        <v>32</v>
      </c>
      <c r="C8" s="11" t="s">
        <v>13</v>
      </c>
      <c r="D8" s="10" t="s">
        <v>14</v>
      </c>
      <c r="E8" s="10">
        <v>5</v>
      </c>
      <c r="F8" s="11" t="s">
        <v>15</v>
      </c>
      <c r="G8" s="12" t="s">
        <v>17</v>
      </c>
      <c r="H8" s="12" t="s">
        <v>16</v>
      </c>
    </row>
    <row r="9" spans="1:8" x14ac:dyDescent="0.3">
      <c r="A9" s="10" t="s">
        <v>33</v>
      </c>
      <c r="B9" s="10" t="s">
        <v>34</v>
      </c>
      <c r="C9" s="11" t="s">
        <v>35</v>
      </c>
      <c r="D9" s="10" t="s">
        <v>36</v>
      </c>
      <c r="E9" s="10">
        <v>1</v>
      </c>
      <c r="F9" s="11" t="s">
        <v>37</v>
      </c>
      <c r="G9" s="12" t="s">
        <v>17</v>
      </c>
      <c r="H9" s="12" t="s">
        <v>16</v>
      </c>
    </row>
    <row r="10" spans="1:8" x14ac:dyDescent="0.3">
      <c r="A10" s="10" t="s">
        <v>38</v>
      </c>
      <c r="B10" s="10" t="s">
        <v>39</v>
      </c>
      <c r="C10" s="11" t="s">
        <v>13</v>
      </c>
      <c r="D10" s="10" t="s">
        <v>14</v>
      </c>
      <c r="E10" s="10">
        <v>11</v>
      </c>
      <c r="F10" s="11" t="s">
        <v>15</v>
      </c>
      <c r="G10" s="12" t="s">
        <v>16</v>
      </c>
      <c r="H10" s="12" t="s">
        <v>17</v>
      </c>
    </row>
    <row r="11" spans="1:8" ht="26.4" x14ac:dyDescent="0.3">
      <c r="A11" s="10" t="s">
        <v>40</v>
      </c>
      <c r="B11" s="10" t="s">
        <v>41</v>
      </c>
      <c r="C11" s="11" t="s">
        <v>24</v>
      </c>
      <c r="D11" s="10" t="s">
        <v>25</v>
      </c>
      <c r="E11" s="10">
        <v>2</v>
      </c>
      <c r="F11" s="11" t="s">
        <v>26</v>
      </c>
      <c r="G11" s="12" t="s">
        <v>16</v>
      </c>
      <c r="H11" s="12" t="s">
        <v>17</v>
      </c>
    </row>
    <row r="12" spans="1:8" ht="26.4" x14ac:dyDescent="0.3">
      <c r="A12" s="10" t="s">
        <v>42</v>
      </c>
      <c r="B12" s="10" t="s">
        <v>43</v>
      </c>
      <c r="C12" s="11" t="s">
        <v>24</v>
      </c>
      <c r="D12" s="10" t="s">
        <v>25</v>
      </c>
      <c r="E12" s="10">
        <v>5</v>
      </c>
      <c r="F12" s="11" t="s">
        <v>26</v>
      </c>
      <c r="G12" s="12" t="s">
        <v>17</v>
      </c>
      <c r="H12" s="12" t="s">
        <v>16</v>
      </c>
    </row>
    <row r="13" spans="1:8" x14ac:dyDescent="0.3">
      <c r="A13" s="10" t="s">
        <v>44</v>
      </c>
      <c r="B13" s="10" t="s">
        <v>45</v>
      </c>
      <c r="C13" s="11" t="s">
        <v>35</v>
      </c>
      <c r="D13" s="10" t="s">
        <v>36</v>
      </c>
      <c r="E13" s="10">
        <v>5</v>
      </c>
      <c r="F13" s="11" t="s">
        <v>37</v>
      </c>
      <c r="G13" s="12" t="s">
        <v>16</v>
      </c>
      <c r="H13" s="12" t="s">
        <v>17</v>
      </c>
    </row>
    <row r="14" spans="1:8" x14ac:dyDescent="0.3">
      <c r="A14" s="10" t="s">
        <v>46</v>
      </c>
      <c r="B14" s="10" t="s">
        <v>47</v>
      </c>
      <c r="C14" s="11" t="s">
        <v>35</v>
      </c>
      <c r="D14" s="10" t="s">
        <v>36</v>
      </c>
      <c r="E14" s="10">
        <v>3</v>
      </c>
      <c r="F14" s="11" t="s">
        <v>37</v>
      </c>
      <c r="G14" s="12" t="s">
        <v>17</v>
      </c>
      <c r="H14" s="12" t="s">
        <v>16</v>
      </c>
    </row>
    <row r="15" spans="1:8" ht="26.4" x14ac:dyDescent="0.3">
      <c r="A15" s="10" t="s">
        <v>48</v>
      </c>
      <c r="B15" s="10" t="s">
        <v>49</v>
      </c>
      <c r="C15" s="11" t="s">
        <v>24</v>
      </c>
      <c r="D15" s="10" t="s">
        <v>25</v>
      </c>
      <c r="E15" s="10">
        <v>4</v>
      </c>
      <c r="F15" s="11" t="s">
        <v>26</v>
      </c>
      <c r="G15" s="12" t="s">
        <v>16</v>
      </c>
      <c r="H15" s="12" t="s">
        <v>17</v>
      </c>
    </row>
    <row r="16" spans="1:8" x14ac:dyDescent="0.3">
      <c r="A16" s="10" t="s">
        <v>50</v>
      </c>
      <c r="B16" s="10" t="s">
        <v>51</v>
      </c>
      <c r="C16" s="11" t="s">
        <v>13</v>
      </c>
      <c r="D16" s="10" t="s">
        <v>14</v>
      </c>
      <c r="E16" s="10">
        <v>10</v>
      </c>
      <c r="F16" s="11" t="s">
        <v>15</v>
      </c>
      <c r="G16" s="12" t="s">
        <v>16</v>
      </c>
      <c r="H16" s="12" t="s">
        <v>17</v>
      </c>
    </row>
    <row r="17" spans="1:8" x14ac:dyDescent="0.3">
      <c r="A17" s="10" t="s">
        <v>52</v>
      </c>
      <c r="B17" s="10" t="s">
        <v>53</v>
      </c>
      <c r="C17" s="11" t="s">
        <v>13</v>
      </c>
      <c r="D17" s="10" t="s">
        <v>14</v>
      </c>
      <c r="E17" s="10">
        <v>8</v>
      </c>
      <c r="F17" s="11" t="s">
        <v>15</v>
      </c>
      <c r="G17" s="12" t="s">
        <v>16</v>
      </c>
      <c r="H17" s="12" t="s">
        <v>17</v>
      </c>
    </row>
    <row r="18" spans="1:8" x14ac:dyDescent="0.3">
      <c r="A18" s="10" t="s">
        <v>54</v>
      </c>
      <c r="B18" s="10" t="s">
        <v>55</v>
      </c>
      <c r="C18" s="11" t="s">
        <v>35</v>
      </c>
      <c r="D18" s="10" t="s">
        <v>36</v>
      </c>
      <c r="E18" s="10">
        <v>2</v>
      </c>
      <c r="F18" s="11" t="s">
        <v>37</v>
      </c>
      <c r="G18" s="12" t="s">
        <v>17</v>
      </c>
      <c r="H18" s="12" t="s">
        <v>16</v>
      </c>
    </row>
    <row r="19" spans="1:8" ht="26.4" x14ac:dyDescent="0.3">
      <c r="A19" s="10" t="s">
        <v>56</v>
      </c>
      <c r="B19" s="10" t="s">
        <v>57</v>
      </c>
      <c r="C19" s="11" t="s">
        <v>24</v>
      </c>
      <c r="D19" s="10" t="s">
        <v>25</v>
      </c>
      <c r="E19" s="10">
        <v>1</v>
      </c>
      <c r="F19" s="11" t="s">
        <v>26</v>
      </c>
      <c r="G19" s="12" t="s">
        <v>16</v>
      </c>
      <c r="H19" s="12" t="s">
        <v>17</v>
      </c>
    </row>
    <row r="20" spans="1:8" ht="26.4" x14ac:dyDescent="0.3">
      <c r="A20" s="10" t="s">
        <v>58</v>
      </c>
      <c r="B20" s="10" t="s">
        <v>59</v>
      </c>
      <c r="C20" s="11" t="s">
        <v>24</v>
      </c>
      <c r="D20" s="10" t="s">
        <v>25</v>
      </c>
      <c r="E20" s="10">
        <v>3</v>
      </c>
      <c r="F20" s="11" t="s">
        <v>26</v>
      </c>
      <c r="G20" s="12" t="s">
        <v>17</v>
      </c>
      <c r="H20" s="12" t="s">
        <v>16</v>
      </c>
    </row>
    <row r="21" spans="1:8" x14ac:dyDescent="0.3">
      <c r="A21" s="10" t="s">
        <v>60</v>
      </c>
      <c r="B21" s="10" t="s">
        <v>61</v>
      </c>
      <c r="C21" s="11" t="s">
        <v>35</v>
      </c>
      <c r="D21" s="10" t="s">
        <v>36</v>
      </c>
      <c r="E21" s="10">
        <v>4</v>
      </c>
      <c r="F21" s="11" t="s">
        <v>37</v>
      </c>
      <c r="G21" s="12" t="s">
        <v>16</v>
      </c>
      <c r="H21" s="12" t="s">
        <v>17</v>
      </c>
    </row>
    <row r="22" spans="1:8" x14ac:dyDescent="0.3">
      <c r="A22" s="10" t="s">
        <v>62</v>
      </c>
      <c r="B22" s="10" t="s">
        <v>63</v>
      </c>
      <c r="C22" s="11" t="s">
        <v>13</v>
      </c>
      <c r="D22" s="10" t="s">
        <v>14</v>
      </c>
      <c r="E22" s="10">
        <v>6</v>
      </c>
      <c r="F22" s="11" t="s">
        <v>15</v>
      </c>
      <c r="G22" s="12" t="s">
        <v>17</v>
      </c>
      <c r="H22" s="12" t="s">
        <v>16</v>
      </c>
    </row>
    <row r="23" spans="1:8" x14ac:dyDescent="0.3">
      <c r="A23" s="10" t="s">
        <v>64</v>
      </c>
      <c r="B23" s="10" t="s">
        <v>65</v>
      </c>
      <c r="C23" s="11" t="s">
        <v>13</v>
      </c>
      <c r="D23" s="10" t="s">
        <v>14</v>
      </c>
      <c r="E23" s="10">
        <v>12</v>
      </c>
      <c r="F23" s="11" t="s">
        <v>15</v>
      </c>
      <c r="G23" s="12" t="s">
        <v>17</v>
      </c>
      <c r="H23" s="12" t="s">
        <v>16</v>
      </c>
    </row>
    <row r="24" spans="1:8" x14ac:dyDescent="0.3">
      <c r="A24" s="10" t="s">
        <v>66</v>
      </c>
      <c r="B24" s="10" t="s">
        <v>67</v>
      </c>
      <c r="C24" s="11" t="s">
        <v>13</v>
      </c>
      <c r="D24" s="10" t="s">
        <v>14</v>
      </c>
      <c r="E24" s="10">
        <v>2</v>
      </c>
      <c r="F24" s="11" t="s">
        <v>15</v>
      </c>
      <c r="G24" s="12" t="s">
        <v>17</v>
      </c>
      <c r="H24" s="12" t="s">
        <v>16</v>
      </c>
    </row>
    <row r="25" spans="1:8" ht="26.4" x14ac:dyDescent="0.3">
      <c r="A25" s="10" t="s">
        <v>68</v>
      </c>
      <c r="B25" s="10" t="s">
        <v>69</v>
      </c>
      <c r="C25" s="11" t="s">
        <v>24</v>
      </c>
      <c r="D25" s="10" t="s">
        <v>25</v>
      </c>
      <c r="E25" s="10">
        <v>8</v>
      </c>
      <c r="F25" s="11" t="s">
        <v>26</v>
      </c>
      <c r="G25" s="12" t="s">
        <v>17</v>
      </c>
      <c r="H25" s="12" t="s">
        <v>16</v>
      </c>
    </row>
    <row r="26" spans="1:8" x14ac:dyDescent="0.3">
      <c r="A26" s="10" t="s">
        <v>70</v>
      </c>
      <c r="B26" s="10" t="s">
        <v>71</v>
      </c>
      <c r="C26" s="11" t="s">
        <v>13</v>
      </c>
      <c r="D26" s="10" t="s">
        <v>14</v>
      </c>
      <c r="E26" s="10">
        <v>3</v>
      </c>
      <c r="F26" s="11" t="s">
        <v>15</v>
      </c>
      <c r="G26" s="12" t="s">
        <v>16</v>
      </c>
      <c r="H26" s="12" t="s">
        <v>17</v>
      </c>
    </row>
  </sheetData>
  <sheetProtection sheet="1" formatColumns="0" formatRows="0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:T1"/>
    </sheetView>
  </sheetViews>
  <sheetFormatPr defaultColWidth="8.6640625" defaultRowHeight="14.4" x14ac:dyDescent="0.3"/>
  <cols>
    <col min="1" max="1" width="5" customWidth="1"/>
    <col min="2" max="2" width="6" customWidth="1"/>
    <col min="3" max="3" width="17" customWidth="1"/>
    <col min="4" max="6" width="10" customWidth="1"/>
    <col min="7" max="7" width="11.21875" customWidth="1"/>
    <col min="8" max="11" width="10" customWidth="1"/>
    <col min="12" max="12" width="11.109375" customWidth="1"/>
    <col min="13" max="13" width="10" customWidth="1"/>
    <col min="14" max="14" width="12" customWidth="1"/>
    <col min="15" max="18" width="11" customWidth="1"/>
    <col min="19" max="20" width="13" customWidth="1"/>
    <col min="21" max="21" width="34" customWidth="1"/>
  </cols>
  <sheetData>
    <row r="1" spans="1:21" ht="21.75" customHeight="1" x14ac:dyDescent="0.3">
      <c r="A1" s="5" t="s">
        <v>3</v>
      </c>
      <c r="B1" s="5"/>
      <c r="C1" s="5"/>
      <c r="D1" s="4" t="s">
        <v>127</v>
      </c>
      <c r="E1" s="4"/>
      <c r="F1" s="4"/>
      <c r="G1" s="4"/>
      <c r="H1" s="4"/>
      <c r="I1" s="3" t="s">
        <v>128</v>
      </c>
      <c r="J1" s="3"/>
      <c r="K1" s="3"/>
      <c r="L1" s="3"/>
      <c r="M1" s="3"/>
      <c r="N1" s="2" t="s">
        <v>72</v>
      </c>
      <c r="O1" s="2"/>
      <c r="P1" s="2"/>
      <c r="Q1" s="1" t="s">
        <v>129</v>
      </c>
      <c r="R1" s="1"/>
      <c r="S1" s="1"/>
      <c r="T1" s="1"/>
      <c r="U1" s="9"/>
    </row>
    <row r="2" spans="1:21" ht="33.75" customHeight="1" x14ac:dyDescent="0.3">
      <c r="A2" s="9" t="s">
        <v>73</v>
      </c>
      <c r="B2" s="9" t="s">
        <v>3</v>
      </c>
      <c r="C2" s="9" t="s">
        <v>4</v>
      </c>
      <c r="D2" s="13" t="s">
        <v>74</v>
      </c>
      <c r="E2" s="13" t="s">
        <v>75</v>
      </c>
      <c r="F2" s="13" t="s">
        <v>76</v>
      </c>
      <c r="G2" s="13" t="s">
        <v>77</v>
      </c>
      <c r="H2" s="13" t="s">
        <v>78</v>
      </c>
      <c r="I2" s="14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15" t="s">
        <v>79</v>
      </c>
      <c r="O2" s="15" t="s">
        <v>80</v>
      </c>
      <c r="P2" s="15" t="s">
        <v>81</v>
      </c>
      <c r="Q2" s="16" t="s">
        <v>82</v>
      </c>
      <c r="R2" s="16" t="s">
        <v>83</v>
      </c>
      <c r="S2" s="16" t="s">
        <v>84</v>
      </c>
      <c r="T2" s="16" t="s">
        <v>85</v>
      </c>
      <c r="U2" s="9" t="s">
        <v>86</v>
      </c>
    </row>
    <row r="3" spans="1:21" x14ac:dyDescent="0.3">
      <c r="A3" s="17">
        <v>1</v>
      </c>
      <c r="B3" s="18" t="s">
        <v>11</v>
      </c>
      <c r="C3" s="17" t="s">
        <v>12</v>
      </c>
      <c r="D3" s="19"/>
      <c r="E3" s="19"/>
      <c r="F3" s="19"/>
      <c r="G3" s="19"/>
      <c r="H3" s="19"/>
      <c r="I3" s="20"/>
      <c r="J3" s="20"/>
      <c r="K3" s="20"/>
      <c r="L3" s="20"/>
      <c r="M3" s="20"/>
      <c r="N3" s="21"/>
      <c r="O3" s="21"/>
      <c r="P3" s="21"/>
      <c r="Q3" s="21"/>
      <c r="R3" s="21"/>
      <c r="S3" s="21"/>
      <c r="T3" s="21"/>
      <c r="U3" s="22"/>
    </row>
    <row r="4" spans="1:21" x14ac:dyDescent="0.3">
      <c r="A4" s="23">
        <v>2</v>
      </c>
      <c r="B4" s="24" t="s">
        <v>18</v>
      </c>
      <c r="C4" s="23" t="s">
        <v>19</v>
      </c>
      <c r="D4" s="19"/>
      <c r="E4" s="19"/>
      <c r="F4" s="19"/>
      <c r="G4" s="19"/>
      <c r="H4" s="19"/>
      <c r="I4" s="20"/>
      <c r="J4" s="20"/>
      <c r="K4" s="20"/>
      <c r="L4" s="20"/>
      <c r="M4" s="20"/>
      <c r="N4" s="21"/>
      <c r="O4" s="21"/>
      <c r="P4" s="21"/>
      <c r="Q4" s="21"/>
      <c r="R4" s="21"/>
      <c r="S4" s="21"/>
      <c r="T4" s="21"/>
      <c r="U4" s="22"/>
    </row>
    <row r="5" spans="1:21" x14ac:dyDescent="0.3">
      <c r="A5" s="17">
        <v>3</v>
      </c>
      <c r="B5" s="18" t="s">
        <v>20</v>
      </c>
      <c r="C5" s="17" t="s">
        <v>21</v>
      </c>
      <c r="D5" s="19"/>
      <c r="E5" s="19"/>
      <c r="F5" s="19"/>
      <c r="G5" s="19"/>
      <c r="H5" s="19"/>
      <c r="I5" s="20"/>
      <c r="J5" s="20"/>
      <c r="K5" s="20"/>
      <c r="L5" s="20"/>
      <c r="M5" s="20"/>
      <c r="N5" s="21"/>
      <c r="O5" s="21"/>
      <c r="P5" s="21"/>
      <c r="Q5" s="21"/>
      <c r="R5" s="21"/>
      <c r="S5" s="21"/>
      <c r="T5" s="21"/>
      <c r="U5" s="22"/>
    </row>
    <row r="6" spans="1:21" x14ac:dyDescent="0.3">
      <c r="A6" s="23">
        <v>4</v>
      </c>
      <c r="B6" s="24" t="s">
        <v>22</v>
      </c>
      <c r="C6" s="23" t="s">
        <v>23</v>
      </c>
      <c r="D6" s="19"/>
      <c r="E6" s="19"/>
      <c r="F6" s="19"/>
      <c r="G6" s="19"/>
      <c r="H6" s="19"/>
      <c r="I6" s="20"/>
      <c r="J6" s="20"/>
      <c r="K6" s="20"/>
      <c r="L6" s="20"/>
      <c r="M6" s="20"/>
      <c r="N6" s="21"/>
      <c r="O6" s="21"/>
      <c r="P6" s="21"/>
      <c r="Q6" s="21"/>
      <c r="R6" s="21"/>
      <c r="S6" s="21"/>
      <c r="T6" s="21"/>
      <c r="U6" s="22"/>
    </row>
    <row r="7" spans="1:21" x14ac:dyDescent="0.3">
      <c r="A7" s="17">
        <v>5</v>
      </c>
      <c r="B7" s="18" t="s">
        <v>27</v>
      </c>
      <c r="C7" s="17" t="s">
        <v>28</v>
      </c>
      <c r="D7" s="19"/>
      <c r="E7" s="19"/>
      <c r="F7" s="19"/>
      <c r="G7" s="19"/>
      <c r="H7" s="19"/>
      <c r="I7" s="20"/>
      <c r="J7" s="20"/>
      <c r="K7" s="20"/>
      <c r="L7" s="20"/>
      <c r="M7" s="20"/>
      <c r="N7" s="21"/>
      <c r="O7" s="21"/>
      <c r="P7" s="21"/>
      <c r="Q7" s="21"/>
      <c r="R7" s="21"/>
      <c r="S7" s="21"/>
      <c r="T7" s="21"/>
      <c r="U7" s="22"/>
    </row>
    <row r="8" spans="1:21" x14ac:dyDescent="0.3">
      <c r="A8" s="23">
        <v>6</v>
      </c>
      <c r="B8" s="24" t="s">
        <v>29</v>
      </c>
      <c r="C8" s="23" t="s">
        <v>30</v>
      </c>
      <c r="D8" s="19"/>
      <c r="E8" s="19"/>
      <c r="F8" s="19"/>
      <c r="G8" s="19"/>
      <c r="H8" s="19"/>
      <c r="I8" s="20"/>
      <c r="J8" s="20"/>
      <c r="K8" s="20"/>
      <c r="L8" s="20"/>
      <c r="M8" s="20"/>
      <c r="N8" s="21"/>
      <c r="O8" s="21"/>
      <c r="P8" s="21"/>
      <c r="Q8" s="21"/>
      <c r="R8" s="21"/>
      <c r="S8" s="21"/>
      <c r="T8" s="21"/>
      <c r="U8" s="22"/>
    </row>
    <row r="9" spans="1:21" x14ac:dyDescent="0.3">
      <c r="A9" s="17">
        <v>7</v>
      </c>
      <c r="B9" s="18" t="s">
        <v>31</v>
      </c>
      <c r="C9" s="17" t="s">
        <v>32</v>
      </c>
      <c r="D9" s="19"/>
      <c r="E9" s="19"/>
      <c r="F9" s="19"/>
      <c r="G9" s="19"/>
      <c r="H9" s="19"/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  <c r="U9" s="22"/>
    </row>
    <row r="10" spans="1:21" x14ac:dyDescent="0.3">
      <c r="A10" s="23">
        <v>8</v>
      </c>
      <c r="B10" s="24" t="s">
        <v>33</v>
      </c>
      <c r="C10" s="23" t="s">
        <v>34</v>
      </c>
      <c r="D10" s="19"/>
      <c r="E10" s="19"/>
      <c r="F10" s="19"/>
      <c r="G10" s="19"/>
      <c r="H10" s="19"/>
      <c r="I10" s="20"/>
      <c r="J10" s="20"/>
      <c r="K10" s="20"/>
      <c r="L10" s="20"/>
      <c r="M10" s="20"/>
      <c r="N10" s="21"/>
      <c r="O10" s="21"/>
      <c r="P10" s="21"/>
      <c r="Q10" s="21"/>
      <c r="R10" s="21"/>
      <c r="S10" s="21"/>
      <c r="T10" s="21"/>
      <c r="U10" s="22"/>
    </row>
    <row r="11" spans="1:21" x14ac:dyDescent="0.3">
      <c r="A11" s="17">
        <v>9</v>
      </c>
      <c r="B11" s="18" t="s">
        <v>38</v>
      </c>
      <c r="C11" s="17" t="s">
        <v>39</v>
      </c>
      <c r="D11" s="19"/>
      <c r="E11" s="19"/>
      <c r="F11" s="19"/>
      <c r="G11" s="19"/>
      <c r="H11" s="19"/>
      <c r="I11" s="20"/>
      <c r="J11" s="20"/>
      <c r="K11" s="20"/>
      <c r="L11" s="20"/>
      <c r="M11" s="20"/>
      <c r="N11" s="21"/>
      <c r="O11" s="21"/>
      <c r="P11" s="21"/>
      <c r="Q11" s="21"/>
      <c r="R11" s="21"/>
      <c r="S11" s="21"/>
      <c r="T11" s="21"/>
      <c r="U11" s="22"/>
    </row>
    <row r="12" spans="1:21" x14ac:dyDescent="0.3">
      <c r="A12" s="23">
        <v>10</v>
      </c>
      <c r="B12" s="24" t="s">
        <v>40</v>
      </c>
      <c r="C12" s="23" t="s">
        <v>41</v>
      </c>
      <c r="D12" s="19"/>
      <c r="E12" s="19"/>
      <c r="F12" s="19"/>
      <c r="G12" s="19"/>
      <c r="H12" s="19"/>
      <c r="I12" s="20"/>
      <c r="J12" s="20"/>
      <c r="K12" s="20"/>
      <c r="L12" s="20"/>
      <c r="M12" s="20"/>
      <c r="N12" s="21"/>
      <c r="O12" s="21"/>
      <c r="P12" s="21"/>
      <c r="Q12" s="21"/>
      <c r="R12" s="21"/>
      <c r="S12" s="21"/>
      <c r="T12" s="21"/>
      <c r="U12" s="22"/>
    </row>
    <row r="13" spans="1:21" x14ac:dyDescent="0.3">
      <c r="A13" s="17">
        <v>11</v>
      </c>
      <c r="B13" s="18" t="s">
        <v>42</v>
      </c>
      <c r="C13" s="17" t="s">
        <v>43</v>
      </c>
      <c r="D13" s="19"/>
      <c r="E13" s="19"/>
      <c r="F13" s="19"/>
      <c r="G13" s="19"/>
      <c r="H13" s="19"/>
      <c r="I13" s="20"/>
      <c r="J13" s="20"/>
      <c r="K13" s="20"/>
      <c r="L13" s="20"/>
      <c r="M13" s="20"/>
      <c r="N13" s="21"/>
      <c r="O13" s="21"/>
      <c r="P13" s="21"/>
      <c r="Q13" s="21"/>
      <c r="R13" s="21"/>
      <c r="S13" s="21"/>
      <c r="T13" s="21"/>
      <c r="U13" s="22"/>
    </row>
    <row r="14" spans="1:21" x14ac:dyDescent="0.3">
      <c r="A14" s="23">
        <v>12</v>
      </c>
      <c r="B14" s="24" t="s">
        <v>44</v>
      </c>
      <c r="C14" s="23" t="s">
        <v>45</v>
      </c>
      <c r="D14" s="19"/>
      <c r="E14" s="19"/>
      <c r="F14" s="19"/>
      <c r="G14" s="19"/>
      <c r="H14" s="19"/>
      <c r="I14" s="20"/>
      <c r="J14" s="20"/>
      <c r="K14" s="20"/>
      <c r="L14" s="20"/>
      <c r="M14" s="20"/>
      <c r="N14" s="21"/>
      <c r="O14" s="21"/>
      <c r="P14" s="21"/>
      <c r="Q14" s="21"/>
      <c r="R14" s="21"/>
      <c r="S14" s="21"/>
      <c r="T14" s="21"/>
      <c r="U14" s="22"/>
    </row>
    <row r="15" spans="1:21" x14ac:dyDescent="0.3">
      <c r="A15" s="17">
        <v>13</v>
      </c>
      <c r="B15" s="18" t="s">
        <v>46</v>
      </c>
      <c r="C15" s="17" t="s">
        <v>47</v>
      </c>
      <c r="D15" s="19"/>
      <c r="E15" s="19"/>
      <c r="F15" s="19"/>
      <c r="G15" s="19"/>
      <c r="H15" s="19"/>
      <c r="I15" s="20"/>
      <c r="J15" s="20"/>
      <c r="K15" s="20"/>
      <c r="L15" s="20"/>
      <c r="M15" s="20"/>
      <c r="N15" s="21"/>
      <c r="O15" s="21"/>
      <c r="P15" s="21"/>
      <c r="Q15" s="21"/>
      <c r="R15" s="21"/>
      <c r="S15" s="21"/>
      <c r="T15" s="21"/>
      <c r="U15" s="22"/>
    </row>
    <row r="16" spans="1:21" x14ac:dyDescent="0.3">
      <c r="A16" s="23">
        <v>14</v>
      </c>
      <c r="B16" s="24" t="s">
        <v>48</v>
      </c>
      <c r="C16" s="23" t="s">
        <v>49</v>
      </c>
      <c r="D16" s="19"/>
      <c r="E16" s="19"/>
      <c r="F16" s="19"/>
      <c r="G16" s="19"/>
      <c r="H16" s="19"/>
      <c r="I16" s="20"/>
      <c r="J16" s="20"/>
      <c r="K16" s="20"/>
      <c r="L16" s="20"/>
      <c r="M16" s="20"/>
      <c r="N16" s="21"/>
      <c r="O16" s="21"/>
      <c r="P16" s="21"/>
      <c r="Q16" s="21"/>
      <c r="R16" s="21"/>
      <c r="S16" s="21"/>
      <c r="T16" s="21"/>
      <c r="U16" s="22"/>
    </row>
    <row r="17" spans="1:21" x14ac:dyDescent="0.3">
      <c r="A17" s="17">
        <v>15</v>
      </c>
      <c r="B17" s="18" t="s">
        <v>50</v>
      </c>
      <c r="C17" s="17" t="s">
        <v>51</v>
      </c>
      <c r="D17" s="19"/>
      <c r="E17" s="19"/>
      <c r="F17" s="19"/>
      <c r="G17" s="19"/>
      <c r="H17" s="19"/>
      <c r="I17" s="20"/>
      <c r="J17" s="20"/>
      <c r="K17" s="20"/>
      <c r="L17" s="20"/>
      <c r="M17" s="20"/>
      <c r="N17" s="21"/>
      <c r="O17" s="21"/>
      <c r="P17" s="21"/>
      <c r="Q17" s="21"/>
      <c r="R17" s="21"/>
      <c r="S17" s="21"/>
      <c r="T17" s="21"/>
      <c r="U17" s="22"/>
    </row>
    <row r="18" spans="1:21" x14ac:dyDescent="0.3">
      <c r="A18" s="23">
        <v>16</v>
      </c>
      <c r="B18" s="24" t="s">
        <v>52</v>
      </c>
      <c r="C18" s="23" t="s">
        <v>53</v>
      </c>
      <c r="D18" s="19"/>
      <c r="E18" s="19"/>
      <c r="F18" s="19"/>
      <c r="G18" s="19"/>
      <c r="H18" s="19"/>
      <c r="I18" s="20"/>
      <c r="J18" s="20"/>
      <c r="K18" s="20"/>
      <c r="L18" s="20"/>
      <c r="M18" s="20"/>
      <c r="N18" s="21"/>
      <c r="O18" s="21"/>
      <c r="P18" s="21"/>
      <c r="Q18" s="21"/>
      <c r="R18" s="21"/>
      <c r="S18" s="21"/>
      <c r="T18" s="21"/>
      <c r="U18" s="22"/>
    </row>
    <row r="19" spans="1:21" x14ac:dyDescent="0.3">
      <c r="A19" s="17">
        <v>17</v>
      </c>
      <c r="B19" s="18" t="s">
        <v>54</v>
      </c>
      <c r="C19" s="17" t="s">
        <v>55</v>
      </c>
      <c r="D19" s="19"/>
      <c r="E19" s="19"/>
      <c r="F19" s="19"/>
      <c r="G19" s="19"/>
      <c r="H19" s="19"/>
      <c r="I19" s="20"/>
      <c r="J19" s="20"/>
      <c r="K19" s="20"/>
      <c r="L19" s="20"/>
      <c r="M19" s="20"/>
      <c r="N19" s="21"/>
      <c r="O19" s="21"/>
      <c r="P19" s="21"/>
      <c r="Q19" s="21"/>
      <c r="R19" s="21"/>
      <c r="S19" s="21"/>
      <c r="T19" s="21"/>
      <c r="U19" s="22"/>
    </row>
    <row r="20" spans="1:21" x14ac:dyDescent="0.3">
      <c r="A20" s="23">
        <v>18</v>
      </c>
      <c r="B20" s="24" t="s">
        <v>56</v>
      </c>
      <c r="C20" s="23" t="s">
        <v>57</v>
      </c>
      <c r="D20" s="19"/>
      <c r="E20" s="19"/>
      <c r="F20" s="19"/>
      <c r="G20" s="19"/>
      <c r="H20" s="19"/>
      <c r="I20" s="20"/>
      <c r="J20" s="20"/>
      <c r="K20" s="20"/>
      <c r="L20" s="20"/>
      <c r="M20" s="20"/>
      <c r="N20" s="21"/>
      <c r="O20" s="21"/>
      <c r="P20" s="21"/>
      <c r="Q20" s="21"/>
      <c r="R20" s="21"/>
      <c r="S20" s="21"/>
      <c r="T20" s="21"/>
      <c r="U20" s="22"/>
    </row>
    <row r="21" spans="1:21" x14ac:dyDescent="0.3">
      <c r="A21" s="17">
        <v>19</v>
      </c>
      <c r="B21" s="18" t="s">
        <v>58</v>
      </c>
      <c r="C21" s="17" t="s">
        <v>59</v>
      </c>
      <c r="D21" s="19"/>
      <c r="E21" s="19"/>
      <c r="F21" s="19"/>
      <c r="G21" s="19"/>
      <c r="H21" s="19"/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1"/>
      <c r="U21" s="22"/>
    </row>
    <row r="22" spans="1:21" x14ac:dyDescent="0.3">
      <c r="A22" s="23">
        <v>20</v>
      </c>
      <c r="B22" s="24" t="s">
        <v>60</v>
      </c>
      <c r="C22" s="23" t="s">
        <v>61</v>
      </c>
      <c r="D22" s="19"/>
      <c r="E22" s="19"/>
      <c r="F22" s="19"/>
      <c r="G22" s="19"/>
      <c r="H22" s="19"/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2"/>
    </row>
    <row r="23" spans="1:21" x14ac:dyDescent="0.3">
      <c r="A23" s="17">
        <v>21</v>
      </c>
      <c r="B23" s="18" t="s">
        <v>62</v>
      </c>
      <c r="C23" s="17" t="s">
        <v>63</v>
      </c>
      <c r="D23" s="19"/>
      <c r="E23" s="19"/>
      <c r="F23" s="19"/>
      <c r="G23" s="19"/>
      <c r="H23" s="19"/>
      <c r="I23" s="20"/>
      <c r="J23" s="20"/>
      <c r="K23" s="20"/>
      <c r="L23" s="20"/>
      <c r="M23" s="20"/>
      <c r="N23" s="21"/>
      <c r="O23" s="21"/>
      <c r="P23" s="21"/>
      <c r="Q23" s="21"/>
      <c r="R23" s="21"/>
      <c r="S23" s="21"/>
      <c r="T23" s="21"/>
      <c r="U23" s="22"/>
    </row>
    <row r="24" spans="1:21" x14ac:dyDescent="0.3">
      <c r="A24" s="23">
        <v>22</v>
      </c>
      <c r="B24" s="24" t="s">
        <v>64</v>
      </c>
      <c r="C24" s="23" t="s">
        <v>65</v>
      </c>
      <c r="D24" s="19"/>
      <c r="E24" s="19"/>
      <c r="F24" s="19"/>
      <c r="G24" s="19"/>
      <c r="H24" s="19"/>
      <c r="I24" s="20"/>
      <c r="J24" s="20"/>
      <c r="K24" s="20"/>
      <c r="L24" s="20"/>
      <c r="M24" s="20"/>
      <c r="N24" s="21"/>
      <c r="O24" s="21"/>
      <c r="P24" s="21"/>
      <c r="Q24" s="21"/>
      <c r="R24" s="21"/>
      <c r="S24" s="21"/>
      <c r="T24" s="21"/>
      <c r="U24" s="22"/>
    </row>
    <row r="25" spans="1:21" x14ac:dyDescent="0.3">
      <c r="A25" s="17">
        <v>23</v>
      </c>
      <c r="B25" s="18" t="s">
        <v>66</v>
      </c>
      <c r="C25" s="17" t="s">
        <v>67</v>
      </c>
      <c r="D25" s="19"/>
      <c r="E25" s="19"/>
      <c r="F25" s="19"/>
      <c r="G25" s="19"/>
      <c r="H25" s="19"/>
      <c r="I25" s="20"/>
      <c r="J25" s="20"/>
      <c r="K25" s="20"/>
      <c r="L25" s="20"/>
      <c r="M25" s="20"/>
      <c r="N25" s="21"/>
      <c r="O25" s="21"/>
      <c r="P25" s="21"/>
      <c r="Q25" s="21"/>
      <c r="R25" s="21"/>
      <c r="S25" s="21"/>
      <c r="T25" s="21"/>
      <c r="U25" s="22"/>
    </row>
    <row r="26" spans="1:21" x14ac:dyDescent="0.3">
      <c r="A26" s="23">
        <v>24</v>
      </c>
      <c r="B26" s="24" t="s">
        <v>68</v>
      </c>
      <c r="C26" s="23" t="s">
        <v>69</v>
      </c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1"/>
      <c r="O26" s="21"/>
      <c r="P26" s="21"/>
      <c r="Q26" s="21"/>
      <c r="R26" s="21"/>
      <c r="S26" s="21"/>
      <c r="T26" s="21"/>
      <c r="U26" s="22"/>
    </row>
    <row r="27" spans="1:21" x14ac:dyDescent="0.3">
      <c r="A27" s="17">
        <v>25</v>
      </c>
      <c r="B27" s="18" t="s">
        <v>70</v>
      </c>
      <c r="C27" s="17" t="s">
        <v>71</v>
      </c>
      <c r="D27" s="19"/>
      <c r="E27" s="19"/>
      <c r="F27" s="19"/>
      <c r="G27" s="19"/>
      <c r="H27" s="19"/>
      <c r="I27" s="20"/>
      <c r="J27" s="20"/>
      <c r="K27" s="20"/>
      <c r="L27" s="20"/>
      <c r="M27" s="20"/>
      <c r="N27" s="21"/>
      <c r="O27" s="21"/>
      <c r="P27" s="21"/>
      <c r="Q27" s="21"/>
      <c r="R27" s="21"/>
      <c r="S27" s="21"/>
      <c r="T27" s="21"/>
      <c r="U27" s="22"/>
    </row>
    <row r="30" spans="1:21" x14ac:dyDescent="0.3">
      <c r="A30" s="25" t="s">
        <v>87</v>
      </c>
      <c r="B30" s="21"/>
    </row>
  </sheetData>
  <mergeCells count="5">
    <mergeCell ref="A1:C1"/>
    <mergeCell ref="D1:H1"/>
    <mergeCell ref="I1:M1"/>
    <mergeCell ref="N1:P1"/>
    <mergeCell ref="Q1:T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:T1"/>
    </sheetView>
  </sheetViews>
  <sheetFormatPr defaultColWidth="8.6640625" defaultRowHeight="14.4" x14ac:dyDescent="0.3"/>
  <cols>
    <col min="1" max="1" width="5" customWidth="1"/>
    <col min="2" max="2" width="6" customWidth="1"/>
    <col min="3" max="3" width="17" customWidth="1"/>
    <col min="4" max="13" width="10" customWidth="1"/>
    <col min="14" max="14" width="12" customWidth="1"/>
    <col min="15" max="18" width="11" customWidth="1"/>
    <col min="19" max="20" width="13" customWidth="1"/>
    <col min="21" max="21" width="34" customWidth="1"/>
  </cols>
  <sheetData>
    <row r="1" spans="1:21" ht="21.75" customHeight="1" x14ac:dyDescent="0.3">
      <c r="A1" s="5" t="s">
        <v>3</v>
      </c>
      <c r="B1" s="5"/>
      <c r="C1" s="5"/>
      <c r="D1" s="4" t="s">
        <v>127</v>
      </c>
      <c r="E1" s="4"/>
      <c r="F1" s="4"/>
      <c r="G1" s="4"/>
      <c r="H1" s="4"/>
      <c r="I1" s="3" t="s">
        <v>128</v>
      </c>
      <c r="J1" s="3"/>
      <c r="K1" s="3"/>
      <c r="L1" s="3"/>
      <c r="M1" s="3"/>
      <c r="N1" s="2" t="s">
        <v>72</v>
      </c>
      <c r="O1" s="2"/>
      <c r="P1" s="2"/>
      <c r="Q1" s="1" t="s">
        <v>129</v>
      </c>
      <c r="R1" s="1"/>
      <c r="S1" s="1"/>
      <c r="T1" s="1"/>
      <c r="U1" s="9"/>
    </row>
    <row r="2" spans="1:21" ht="33.75" customHeight="1" x14ac:dyDescent="0.3">
      <c r="A2" s="9" t="s">
        <v>73</v>
      </c>
      <c r="B2" s="9" t="s">
        <v>3</v>
      </c>
      <c r="C2" s="9" t="s">
        <v>4</v>
      </c>
      <c r="D2" s="13" t="s">
        <v>74</v>
      </c>
      <c r="E2" s="13" t="s">
        <v>75</v>
      </c>
      <c r="F2" s="13" t="s">
        <v>76</v>
      </c>
      <c r="G2" s="13" t="s">
        <v>77</v>
      </c>
      <c r="H2" s="13" t="s">
        <v>78</v>
      </c>
      <c r="I2" s="14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15" t="s">
        <v>79</v>
      </c>
      <c r="O2" s="15" t="s">
        <v>80</v>
      </c>
      <c r="P2" s="15" t="s">
        <v>81</v>
      </c>
      <c r="Q2" s="16" t="s">
        <v>82</v>
      </c>
      <c r="R2" s="16" t="s">
        <v>83</v>
      </c>
      <c r="S2" s="16" t="s">
        <v>84</v>
      </c>
      <c r="T2" s="16" t="s">
        <v>85</v>
      </c>
      <c r="U2" s="9" t="s">
        <v>86</v>
      </c>
    </row>
    <row r="3" spans="1:21" x14ac:dyDescent="0.3">
      <c r="A3" s="17">
        <v>1</v>
      </c>
      <c r="B3" s="18" t="s">
        <v>11</v>
      </c>
      <c r="C3" s="17" t="s">
        <v>12</v>
      </c>
      <c r="D3" s="19"/>
      <c r="E3" s="19"/>
      <c r="F3" s="19"/>
      <c r="G3" s="19"/>
      <c r="H3" s="19"/>
      <c r="I3" s="20"/>
      <c r="J3" s="20"/>
      <c r="K3" s="20"/>
      <c r="L3" s="20"/>
      <c r="M3" s="20"/>
      <c r="N3" s="21"/>
      <c r="O3" s="21"/>
      <c r="P3" s="21"/>
      <c r="Q3" s="21"/>
      <c r="R3" s="21"/>
      <c r="S3" s="21"/>
      <c r="T3" s="21"/>
      <c r="U3" s="22"/>
    </row>
    <row r="4" spans="1:21" x14ac:dyDescent="0.3">
      <c r="A4" s="23">
        <v>2</v>
      </c>
      <c r="B4" s="24" t="s">
        <v>18</v>
      </c>
      <c r="C4" s="23" t="s">
        <v>19</v>
      </c>
      <c r="D4" s="19"/>
      <c r="E4" s="19"/>
      <c r="F4" s="19"/>
      <c r="G4" s="19"/>
      <c r="H4" s="19"/>
      <c r="I4" s="20"/>
      <c r="J4" s="20"/>
      <c r="K4" s="20"/>
      <c r="L4" s="20"/>
      <c r="M4" s="20"/>
      <c r="N4" s="21"/>
      <c r="O4" s="21"/>
      <c r="P4" s="21"/>
      <c r="Q4" s="21"/>
      <c r="R4" s="21"/>
      <c r="S4" s="21"/>
      <c r="T4" s="21"/>
      <c r="U4" s="22"/>
    </row>
    <row r="5" spans="1:21" x14ac:dyDescent="0.3">
      <c r="A5" s="17">
        <v>3</v>
      </c>
      <c r="B5" s="18" t="s">
        <v>20</v>
      </c>
      <c r="C5" s="17" t="s">
        <v>21</v>
      </c>
      <c r="D5" s="19"/>
      <c r="E5" s="19"/>
      <c r="F5" s="19"/>
      <c r="G5" s="19"/>
      <c r="H5" s="19"/>
      <c r="I5" s="20"/>
      <c r="J5" s="20"/>
      <c r="K5" s="20"/>
      <c r="L5" s="20"/>
      <c r="M5" s="20"/>
      <c r="N5" s="21"/>
      <c r="O5" s="21"/>
      <c r="P5" s="21"/>
      <c r="Q5" s="21"/>
      <c r="R5" s="21"/>
      <c r="S5" s="21"/>
      <c r="T5" s="21"/>
      <c r="U5" s="22"/>
    </row>
    <row r="6" spans="1:21" x14ac:dyDescent="0.3">
      <c r="A6" s="23">
        <v>4</v>
      </c>
      <c r="B6" s="24" t="s">
        <v>22</v>
      </c>
      <c r="C6" s="23" t="s">
        <v>23</v>
      </c>
      <c r="D6" s="19"/>
      <c r="E6" s="19"/>
      <c r="F6" s="19"/>
      <c r="G6" s="19"/>
      <c r="H6" s="19"/>
      <c r="I6" s="20"/>
      <c r="J6" s="20"/>
      <c r="K6" s="20"/>
      <c r="L6" s="20"/>
      <c r="M6" s="20"/>
      <c r="N6" s="21"/>
      <c r="O6" s="21"/>
      <c r="P6" s="21"/>
      <c r="Q6" s="21"/>
      <c r="R6" s="21"/>
      <c r="S6" s="21"/>
      <c r="T6" s="21"/>
      <c r="U6" s="22"/>
    </row>
    <row r="7" spans="1:21" x14ac:dyDescent="0.3">
      <c r="A7" s="17">
        <v>5</v>
      </c>
      <c r="B7" s="18" t="s">
        <v>27</v>
      </c>
      <c r="C7" s="17" t="s">
        <v>28</v>
      </c>
      <c r="D7" s="19"/>
      <c r="E7" s="19"/>
      <c r="F7" s="19"/>
      <c r="G7" s="19"/>
      <c r="H7" s="19"/>
      <c r="I7" s="20"/>
      <c r="J7" s="20"/>
      <c r="K7" s="20"/>
      <c r="L7" s="20"/>
      <c r="M7" s="20"/>
      <c r="N7" s="21"/>
      <c r="O7" s="21"/>
      <c r="P7" s="21"/>
      <c r="Q7" s="21"/>
      <c r="R7" s="21"/>
      <c r="S7" s="21"/>
      <c r="T7" s="21"/>
      <c r="U7" s="22"/>
    </row>
    <row r="8" spans="1:21" x14ac:dyDescent="0.3">
      <c r="A8" s="23">
        <v>6</v>
      </c>
      <c r="B8" s="24" t="s">
        <v>29</v>
      </c>
      <c r="C8" s="23" t="s">
        <v>30</v>
      </c>
      <c r="D8" s="19"/>
      <c r="E8" s="19"/>
      <c r="F8" s="19"/>
      <c r="G8" s="19"/>
      <c r="H8" s="19"/>
      <c r="I8" s="20"/>
      <c r="J8" s="20"/>
      <c r="K8" s="20"/>
      <c r="L8" s="20"/>
      <c r="M8" s="20"/>
      <c r="N8" s="21"/>
      <c r="O8" s="21"/>
      <c r="P8" s="21"/>
      <c r="Q8" s="21"/>
      <c r="R8" s="21"/>
      <c r="S8" s="21"/>
      <c r="T8" s="21"/>
      <c r="U8" s="22"/>
    </row>
    <row r="9" spans="1:21" x14ac:dyDescent="0.3">
      <c r="A9" s="17">
        <v>7</v>
      </c>
      <c r="B9" s="18" t="s">
        <v>31</v>
      </c>
      <c r="C9" s="17" t="s">
        <v>32</v>
      </c>
      <c r="D9" s="19"/>
      <c r="E9" s="19"/>
      <c r="F9" s="19"/>
      <c r="G9" s="19"/>
      <c r="H9" s="19"/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  <c r="U9" s="22"/>
    </row>
    <row r="10" spans="1:21" x14ac:dyDescent="0.3">
      <c r="A10" s="23">
        <v>8</v>
      </c>
      <c r="B10" s="24" t="s">
        <v>33</v>
      </c>
      <c r="C10" s="23" t="s">
        <v>34</v>
      </c>
      <c r="D10" s="19"/>
      <c r="E10" s="19"/>
      <c r="F10" s="19"/>
      <c r="G10" s="19"/>
      <c r="H10" s="19"/>
      <c r="I10" s="20"/>
      <c r="J10" s="20"/>
      <c r="K10" s="20"/>
      <c r="L10" s="20"/>
      <c r="M10" s="20"/>
      <c r="N10" s="21"/>
      <c r="O10" s="21"/>
      <c r="P10" s="21"/>
      <c r="Q10" s="21"/>
      <c r="R10" s="21"/>
      <c r="S10" s="21"/>
      <c r="T10" s="21"/>
      <c r="U10" s="22"/>
    </row>
    <row r="11" spans="1:21" x14ac:dyDescent="0.3">
      <c r="A11" s="17">
        <v>9</v>
      </c>
      <c r="B11" s="18" t="s">
        <v>38</v>
      </c>
      <c r="C11" s="17" t="s">
        <v>39</v>
      </c>
      <c r="D11" s="19"/>
      <c r="E11" s="19"/>
      <c r="F11" s="19"/>
      <c r="G11" s="19"/>
      <c r="H11" s="19"/>
      <c r="I11" s="20"/>
      <c r="J11" s="20"/>
      <c r="K11" s="20"/>
      <c r="L11" s="20"/>
      <c r="M11" s="20"/>
      <c r="N11" s="21"/>
      <c r="O11" s="21"/>
      <c r="P11" s="21"/>
      <c r="Q11" s="21"/>
      <c r="R11" s="21"/>
      <c r="S11" s="21"/>
      <c r="T11" s="21"/>
      <c r="U11" s="22"/>
    </row>
    <row r="12" spans="1:21" x14ac:dyDescent="0.3">
      <c r="A12" s="23">
        <v>10</v>
      </c>
      <c r="B12" s="24" t="s">
        <v>40</v>
      </c>
      <c r="C12" s="23" t="s">
        <v>41</v>
      </c>
      <c r="D12" s="19"/>
      <c r="E12" s="19"/>
      <c r="F12" s="19"/>
      <c r="G12" s="19"/>
      <c r="H12" s="19"/>
      <c r="I12" s="20"/>
      <c r="J12" s="20"/>
      <c r="K12" s="20"/>
      <c r="L12" s="20"/>
      <c r="M12" s="20"/>
      <c r="N12" s="21"/>
      <c r="O12" s="21"/>
      <c r="P12" s="21"/>
      <c r="Q12" s="21"/>
      <c r="R12" s="21"/>
      <c r="S12" s="21"/>
      <c r="T12" s="21"/>
      <c r="U12" s="22"/>
    </row>
    <row r="13" spans="1:21" x14ac:dyDescent="0.3">
      <c r="A13" s="17">
        <v>11</v>
      </c>
      <c r="B13" s="18" t="s">
        <v>42</v>
      </c>
      <c r="C13" s="17" t="s">
        <v>43</v>
      </c>
      <c r="D13" s="19"/>
      <c r="E13" s="19"/>
      <c r="F13" s="19"/>
      <c r="G13" s="19"/>
      <c r="H13" s="19"/>
      <c r="I13" s="20"/>
      <c r="J13" s="20"/>
      <c r="K13" s="20"/>
      <c r="L13" s="20"/>
      <c r="M13" s="20"/>
      <c r="N13" s="21"/>
      <c r="O13" s="21"/>
      <c r="P13" s="21"/>
      <c r="Q13" s="21"/>
      <c r="R13" s="21"/>
      <c r="S13" s="21"/>
      <c r="T13" s="21"/>
      <c r="U13" s="22"/>
    </row>
    <row r="14" spans="1:21" x14ac:dyDescent="0.3">
      <c r="A14" s="23">
        <v>12</v>
      </c>
      <c r="B14" s="24" t="s">
        <v>44</v>
      </c>
      <c r="C14" s="23" t="s">
        <v>45</v>
      </c>
      <c r="D14" s="19"/>
      <c r="E14" s="19"/>
      <c r="F14" s="19"/>
      <c r="G14" s="19"/>
      <c r="H14" s="19"/>
      <c r="I14" s="20"/>
      <c r="J14" s="20"/>
      <c r="K14" s="20"/>
      <c r="L14" s="20"/>
      <c r="M14" s="20"/>
      <c r="N14" s="21"/>
      <c r="O14" s="21"/>
      <c r="P14" s="21"/>
      <c r="Q14" s="21"/>
      <c r="R14" s="21"/>
      <c r="S14" s="21"/>
      <c r="T14" s="21"/>
      <c r="U14" s="22"/>
    </row>
    <row r="15" spans="1:21" x14ac:dyDescent="0.3">
      <c r="A15" s="17">
        <v>13</v>
      </c>
      <c r="B15" s="18" t="s">
        <v>46</v>
      </c>
      <c r="C15" s="17" t="s">
        <v>47</v>
      </c>
      <c r="D15" s="19"/>
      <c r="E15" s="19"/>
      <c r="F15" s="19"/>
      <c r="G15" s="19"/>
      <c r="H15" s="19"/>
      <c r="I15" s="20"/>
      <c r="J15" s="20"/>
      <c r="K15" s="20"/>
      <c r="L15" s="20"/>
      <c r="M15" s="20"/>
      <c r="N15" s="21"/>
      <c r="O15" s="21"/>
      <c r="P15" s="21"/>
      <c r="Q15" s="21"/>
      <c r="R15" s="21"/>
      <c r="S15" s="21"/>
      <c r="T15" s="21"/>
      <c r="U15" s="22"/>
    </row>
    <row r="16" spans="1:21" x14ac:dyDescent="0.3">
      <c r="A16" s="23">
        <v>14</v>
      </c>
      <c r="B16" s="24" t="s">
        <v>48</v>
      </c>
      <c r="C16" s="23" t="s">
        <v>49</v>
      </c>
      <c r="D16" s="19"/>
      <c r="E16" s="19"/>
      <c r="F16" s="19"/>
      <c r="G16" s="19"/>
      <c r="H16" s="19"/>
      <c r="I16" s="20"/>
      <c r="J16" s="20"/>
      <c r="K16" s="20"/>
      <c r="L16" s="20"/>
      <c r="M16" s="20"/>
      <c r="N16" s="21"/>
      <c r="O16" s="21"/>
      <c r="P16" s="21"/>
      <c r="Q16" s="21"/>
      <c r="R16" s="21"/>
      <c r="S16" s="21"/>
      <c r="T16" s="21"/>
      <c r="U16" s="22"/>
    </row>
    <row r="17" spans="1:21" x14ac:dyDescent="0.3">
      <c r="A17" s="17">
        <v>15</v>
      </c>
      <c r="B17" s="18" t="s">
        <v>50</v>
      </c>
      <c r="C17" s="17" t="s">
        <v>51</v>
      </c>
      <c r="D17" s="19"/>
      <c r="E17" s="19"/>
      <c r="F17" s="19"/>
      <c r="G17" s="19"/>
      <c r="H17" s="19"/>
      <c r="I17" s="20"/>
      <c r="J17" s="20"/>
      <c r="K17" s="20"/>
      <c r="L17" s="20"/>
      <c r="M17" s="20"/>
      <c r="N17" s="21"/>
      <c r="O17" s="21"/>
      <c r="P17" s="21"/>
      <c r="Q17" s="21"/>
      <c r="R17" s="21"/>
      <c r="S17" s="21"/>
      <c r="T17" s="21"/>
      <c r="U17" s="22"/>
    </row>
    <row r="18" spans="1:21" x14ac:dyDescent="0.3">
      <c r="A18" s="23">
        <v>16</v>
      </c>
      <c r="B18" s="24" t="s">
        <v>52</v>
      </c>
      <c r="C18" s="23" t="s">
        <v>53</v>
      </c>
      <c r="D18" s="19"/>
      <c r="E18" s="19"/>
      <c r="F18" s="19"/>
      <c r="G18" s="19"/>
      <c r="H18" s="19"/>
      <c r="I18" s="20"/>
      <c r="J18" s="20"/>
      <c r="K18" s="20"/>
      <c r="L18" s="20"/>
      <c r="M18" s="20"/>
      <c r="N18" s="21"/>
      <c r="O18" s="21"/>
      <c r="P18" s="21"/>
      <c r="Q18" s="21"/>
      <c r="R18" s="21"/>
      <c r="S18" s="21"/>
      <c r="T18" s="21"/>
      <c r="U18" s="22"/>
    </row>
    <row r="19" spans="1:21" x14ac:dyDescent="0.3">
      <c r="A19" s="17">
        <v>17</v>
      </c>
      <c r="B19" s="18" t="s">
        <v>54</v>
      </c>
      <c r="C19" s="17" t="s">
        <v>55</v>
      </c>
      <c r="D19" s="19"/>
      <c r="E19" s="19"/>
      <c r="F19" s="19"/>
      <c r="G19" s="19"/>
      <c r="H19" s="19"/>
      <c r="I19" s="20"/>
      <c r="J19" s="20"/>
      <c r="K19" s="20"/>
      <c r="L19" s="20"/>
      <c r="M19" s="20"/>
      <c r="N19" s="21"/>
      <c r="O19" s="21"/>
      <c r="P19" s="21"/>
      <c r="Q19" s="21"/>
      <c r="R19" s="21"/>
      <c r="S19" s="21"/>
      <c r="T19" s="21"/>
      <c r="U19" s="22"/>
    </row>
    <row r="20" spans="1:21" x14ac:dyDescent="0.3">
      <c r="A20" s="23">
        <v>18</v>
      </c>
      <c r="B20" s="24" t="s">
        <v>56</v>
      </c>
      <c r="C20" s="23" t="s">
        <v>57</v>
      </c>
      <c r="D20" s="19"/>
      <c r="E20" s="19"/>
      <c r="F20" s="19"/>
      <c r="G20" s="19"/>
      <c r="H20" s="19"/>
      <c r="I20" s="20"/>
      <c r="J20" s="20"/>
      <c r="K20" s="20"/>
      <c r="L20" s="20"/>
      <c r="M20" s="20"/>
      <c r="N20" s="21"/>
      <c r="O20" s="21"/>
      <c r="P20" s="21"/>
      <c r="Q20" s="21"/>
      <c r="R20" s="21"/>
      <c r="S20" s="21"/>
      <c r="T20" s="21"/>
      <c r="U20" s="22"/>
    </row>
    <row r="21" spans="1:21" x14ac:dyDescent="0.3">
      <c r="A21" s="17">
        <v>19</v>
      </c>
      <c r="B21" s="18" t="s">
        <v>58</v>
      </c>
      <c r="C21" s="17" t="s">
        <v>59</v>
      </c>
      <c r="D21" s="19"/>
      <c r="E21" s="19"/>
      <c r="F21" s="19"/>
      <c r="G21" s="19"/>
      <c r="H21" s="19"/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1"/>
      <c r="U21" s="22"/>
    </row>
    <row r="22" spans="1:21" x14ac:dyDescent="0.3">
      <c r="A22" s="23">
        <v>20</v>
      </c>
      <c r="B22" s="24" t="s">
        <v>60</v>
      </c>
      <c r="C22" s="23" t="s">
        <v>61</v>
      </c>
      <c r="D22" s="19"/>
      <c r="E22" s="19"/>
      <c r="F22" s="19"/>
      <c r="G22" s="19"/>
      <c r="H22" s="19"/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2"/>
    </row>
    <row r="23" spans="1:21" x14ac:dyDescent="0.3">
      <c r="A23" s="17">
        <v>21</v>
      </c>
      <c r="B23" s="18" t="s">
        <v>62</v>
      </c>
      <c r="C23" s="17" t="s">
        <v>63</v>
      </c>
      <c r="D23" s="19"/>
      <c r="E23" s="19"/>
      <c r="F23" s="19"/>
      <c r="G23" s="19"/>
      <c r="H23" s="19"/>
      <c r="I23" s="20"/>
      <c r="J23" s="20"/>
      <c r="K23" s="20"/>
      <c r="L23" s="20"/>
      <c r="M23" s="20"/>
      <c r="N23" s="21"/>
      <c r="O23" s="21"/>
      <c r="P23" s="21"/>
      <c r="Q23" s="21"/>
      <c r="R23" s="21"/>
      <c r="S23" s="21"/>
      <c r="T23" s="21"/>
      <c r="U23" s="22"/>
    </row>
    <row r="24" spans="1:21" x14ac:dyDescent="0.3">
      <c r="A24" s="23">
        <v>22</v>
      </c>
      <c r="B24" s="24" t="s">
        <v>64</v>
      </c>
      <c r="C24" s="23" t="s">
        <v>65</v>
      </c>
      <c r="D24" s="19"/>
      <c r="E24" s="19"/>
      <c r="F24" s="19"/>
      <c r="G24" s="19"/>
      <c r="H24" s="19"/>
      <c r="I24" s="20"/>
      <c r="J24" s="20"/>
      <c r="K24" s="20"/>
      <c r="L24" s="20"/>
      <c r="M24" s="20"/>
      <c r="N24" s="21"/>
      <c r="O24" s="21"/>
      <c r="P24" s="21"/>
      <c r="Q24" s="21"/>
      <c r="R24" s="21"/>
      <c r="S24" s="21"/>
      <c r="T24" s="21"/>
      <c r="U24" s="22"/>
    </row>
    <row r="25" spans="1:21" x14ac:dyDescent="0.3">
      <c r="A25" s="17">
        <v>23</v>
      </c>
      <c r="B25" s="18" t="s">
        <v>66</v>
      </c>
      <c r="C25" s="17" t="s">
        <v>67</v>
      </c>
      <c r="D25" s="19"/>
      <c r="E25" s="19"/>
      <c r="F25" s="19"/>
      <c r="G25" s="19"/>
      <c r="H25" s="19"/>
      <c r="I25" s="20"/>
      <c r="J25" s="20"/>
      <c r="K25" s="20"/>
      <c r="L25" s="20"/>
      <c r="M25" s="20"/>
      <c r="N25" s="21"/>
      <c r="O25" s="21"/>
      <c r="P25" s="21"/>
      <c r="Q25" s="21"/>
      <c r="R25" s="21"/>
      <c r="S25" s="21"/>
      <c r="T25" s="21"/>
      <c r="U25" s="22"/>
    </row>
    <row r="26" spans="1:21" x14ac:dyDescent="0.3">
      <c r="A26" s="23">
        <v>24</v>
      </c>
      <c r="B26" s="24" t="s">
        <v>68</v>
      </c>
      <c r="C26" s="23" t="s">
        <v>69</v>
      </c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1"/>
      <c r="O26" s="21"/>
      <c r="P26" s="21"/>
      <c r="Q26" s="21"/>
      <c r="R26" s="21"/>
      <c r="S26" s="21"/>
      <c r="T26" s="21"/>
      <c r="U26" s="22"/>
    </row>
    <row r="27" spans="1:21" x14ac:dyDescent="0.3">
      <c r="A27" s="17">
        <v>25</v>
      </c>
      <c r="B27" s="18" t="s">
        <v>70</v>
      </c>
      <c r="C27" s="17" t="s">
        <v>71</v>
      </c>
      <c r="D27" s="19"/>
      <c r="E27" s="19"/>
      <c r="F27" s="19"/>
      <c r="G27" s="19"/>
      <c r="H27" s="19"/>
      <c r="I27" s="20"/>
      <c r="J27" s="20"/>
      <c r="K27" s="20"/>
      <c r="L27" s="20"/>
      <c r="M27" s="20"/>
      <c r="N27" s="21"/>
      <c r="O27" s="21"/>
      <c r="P27" s="21"/>
      <c r="Q27" s="21"/>
      <c r="R27" s="21"/>
      <c r="S27" s="21"/>
      <c r="T27" s="21"/>
      <c r="U27" s="22"/>
    </row>
    <row r="30" spans="1:21" x14ac:dyDescent="0.3">
      <c r="A30" s="25" t="s">
        <v>87</v>
      </c>
      <c r="B30" s="21"/>
    </row>
  </sheetData>
  <mergeCells count="5">
    <mergeCell ref="A1:C1"/>
    <mergeCell ref="D1:H1"/>
    <mergeCell ref="I1:M1"/>
    <mergeCell ref="N1:P1"/>
    <mergeCell ref="Q1:T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:T1"/>
    </sheetView>
  </sheetViews>
  <sheetFormatPr defaultColWidth="8.6640625" defaultRowHeight="14.4" x14ac:dyDescent="0.3"/>
  <cols>
    <col min="1" max="1" width="5" customWidth="1"/>
    <col min="2" max="2" width="6" customWidth="1"/>
    <col min="3" max="3" width="17" customWidth="1"/>
    <col min="4" max="6" width="10" customWidth="1"/>
    <col min="7" max="7" width="10.77734375" customWidth="1"/>
    <col min="8" max="11" width="10" customWidth="1"/>
    <col min="12" max="12" width="11.109375" customWidth="1"/>
    <col min="13" max="13" width="10" customWidth="1"/>
    <col min="14" max="14" width="12" customWidth="1"/>
    <col min="15" max="18" width="11" customWidth="1"/>
    <col min="19" max="20" width="13" customWidth="1"/>
    <col min="21" max="21" width="34" customWidth="1"/>
  </cols>
  <sheetData>
    <row r="1" spans="1:21" ht="21.75" customHeight="1" x14ac:dyDescent="0.3">
      <c r="A1" s="5" t="s">
        <v>3</v>
      </c>
      <c r="B1" s="5"/>
      <c r="C1" s="5"/>
      <c r="D1" s="4" t="s">
        <v>127</v>
      </c>
      <c r="E1" s="4"/>
      <c r="F1" s="4"/>
      <c r="G1" s="4"/>
      <c r="H1" s="4"/>
      <c r="I1" s="3" t="s">
        <v>128</v>
      </c>
      <c r="J1" s="3"/>
      <c r="K1" s="3"/>
      <c r="L1" s="3"/>
      <c r="M1" s="3"/>
      <c r="N1" s="2" t="s">
        <v>72</v>
      </c>
      <c r="O1" s="2"/>
      <c r="P1" s="2"/>
      <c r="Q1" s="1" t="s">
        <v>129</v>
      </c>
      <c r="R1" s="1"/>
      <c r="S1" s="1"/>
      <c r="T1" s="1"/>
      <c r="U1" s="9"/>
    </row>
    <row r="2" spans="1:21" ht="33.75" customHeight="1" x14ac:dyDescent="0.3">
      <c r="A2" s="9" t="s">
        <v>73</v>
      </c>
      <c r="B2" s="9" t="s">
        <v>3</v>
      </c>
      <c r="C2" s="9" t="s">
        <v>4</v>
      </c>
      <c r="D2" s="13" t="s">
        <v>74</v>
      </c>
      <c r="E2" s="13" t="s">
        <v>75</v>
      </c>
      <c r="F2" s="13" t="s">
        <v>76</v>
      </c>
      <c r="G2" s="13" t="s">
        <v>77</v>
      </c>
      <c r="H2" s="13" t="s">
        <v>78</v>
      </c>
      <c r="I2" s="14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15" t="s">
        <v>79</v>
      </c>
      <c r="O2" s="15" t="s">
        <v>80</v>
      </c>
      <c r="P2" s="15" t="s">
        <v>81</v>
      </c>
      <c r="Q2" s="16" t="s">
        <v>82</v>
      </c>
      <c r="R2" s="16" t="s">
        <v>83</v>
      </c>
      <c r="S2" s="16" t="s">
        <v>84</v>
      </c>
      <c r="T2" s="16" t="s">
        <v>85</v>
      </c>
      <c r="U2" s="9" t="s">
        <v>86</v>
      </c>
    </row>
    <row r="3" spans="1:21" x14ac:dyDescent="0.3">
      <c r="A3" s="17">
        <v>1</v>
      </c>
      <c r="B3" s="18" t="s">
        <v>11</v>
      </c>
      <c r="C3" s="17" t="s">
        <v>12</v>
      </c>
      <c r="D3" s="19"/>
      <c r="E3" s="19"/>
      <c r="F3" s="19"/>
      <c r="G3" s="19"/>
      <c r="H3" s="19"/>
      <c r="I3" s="20"/>
      <c r="J3" s="20"/>
      <c r="K3" s="20"/>
      <c r="L3" s="20"/>
      <c r="M3" s="20"/>
      <c r="N3" s="21"/>
      <c r="O3" s="21"/>
      <c r="P3" s="21"/>
      <c r="Q3" s="21"/>
      <c r="R3" s="21"/>
      <c r="S3" s="21"/>
      <c r="T3" s="21"/>
      <c r="U3" s="22"/>
    </row>
    <row r="4" spans="1:21" x14ac:dyDescent="0.3">
      <c r="A4" s="23">
        <v>2</v>
      </c>
      <c r="B4" s="24" t="s">
        <v>18</v>
      </c>
      <c r="C4" s="23" t="s">
        <v>19</v>
      </c>
      <c r="D4" s="19"/>
      <c r="E4" s="19"/>
      <c r="F4" s="19"/>
      <c r="G4" s="19"/>
      <c r="H4" s="19"/>
      <c r="I4" s="20"/>
      <c r="J4" s="20"/>
      <c r="K4" s="20"/>
      <c r="L4" s="20"/>
      <c r="M4" s="20"/>
      <c r="N4" s="21"/>
      <c r="O4" s="21"/>
      <c r="P4" s="21"/>
      <c r="Q4" s="21"/>
      <c r="R4" s="21"/>
      <c r="S4" s="21"/>
      <c r="T4" s="21"/>
      <c r="U4" s="22"/>
    </row>
    <row r="5" spans="1:21" x14ac:dyDescent="0.3">
      <c r="A5" s="17">
        <v>3</v>
      </c>
      <c r="B5" s="18" t="s">
        <v>20</v>
      </c>
      <c r="C5" s="17" t="s">
        <v>21</v>
      </c>
      <c r="D5" s="19"/>
      <c r="E5" s="19"/>
      <c r="F5" s="19"/>
      <c r="G5" s="19"/>
      <c r="H5" s="19"/>
      <c r="I5" s="20"/>
      <c r="J5" s="20"/>
      <c r="K5" s="20"/>
      <c r="L5" s="20"/>
      <c r="M5" s="20"/>
      <c r="N5" s="21"/>
      <c r="O5" s="21"/>
      <c r="P5" s="21"/>
      <c r="Q5" s="21"/>
      <c r="R5" s="21"/>
      <c r="S5" s="21"/>
      <c r="T5" s="21"/>
      <c r="U5" s="22"/>
    </row>
    <row r="6" spans="1:21" x14ac:dyDescent="0.3">
      <c r="A6" s="23">
        <v>4</v>
      </c>
      <c r="B6" s="24" t="s">
        <v>22</v>
      </c>
      <c r="C6" s="23" t="s">
        <v>23</v>
      </c>
      <c r="D6" s="19"/>
      <c r="E6" s="19"/>
      <c r="F6" s="19"/>
      <c r="G6" s="19"/>
      <c r="H6" s="19"/>
      <c r="I6" s="20"/>
      <c r="J6" s="20"/>
      <c r="K6" s="20"/>
      <c r="L6" s="20"/>
      <c r="M6" s="20"/>
      <c r="N6" s="21"/>
      <c r="O6" s="21"/>
      <c r="P6" s="21"/>
      <c r="Q6" s="21"/>
      <c r="R6" s="21"/>
      <c r="S6" s="21"/>
      <c r="T6" s="21"/>
      <c r="U6" s="22"/>
    </row>
    <row r="7" spans="1:21" x14ac:dyDescent="0.3">
      <c r="A7" s="17">
        <v>5</v>
      </c>
      <c r="B7" s="18" t="s">
        <v>27</v>
      </c>
      <c r="C7" s="17" t="s">
        <v>28</v>
      </c>
      <c r="D7" s="19"/>
      <c r="E7" s="19"/>
      <c r="F7" s="19"/>
      <c r="G7" s="19"/>
      <c r="H7" s="19"/>
      <c r="I7" s="20"/>
      <c r="J7" s="20"/>
      <c r="K7" s="20"/>
      <c r="L7" s="20"/>
      <c r="M7" s="20"/>
      <c r="N7" s="21"/>
      <c r="O7" s="21"/>
      <c r="P7" s="21"/>
      <c r="Q7" s="21"/>
      <c r="R7" s="21"/>
      <c r="S7" s="21"/>
      <c r="T7" s="21"/>
      <c r="U7" s="22"/>
    </row>
    <row r="8" spans="1:21" x14ac:dyDescent="0.3">
      <c r="A8" s="23">
        <v>6</v>
      </c>
      <c r="B8" s="24" t="s">
        <v>29</v>
      </c>
      <c r="C8" s="23" t="s">
        <v>30</v>
      </c>
      <c r="D8" s="19"/>
      <c r="E8" s="19"/>
      <c r="F8" s="19"/>
      <c r="G8" s="19"/>
      <c r="H8" s="19"/>
      <c r="I8" s="20"/>
      <c r="J8" s="20"/>
      <c r="K8" s="20"/>
      <c r="L8" s="20"/>
      <c r="M8" s="20"/>
      <c r="N8" s="21"/>
      <c r="O8" s="21"/>
      <c r="P8" s="21"/>
      <c r="Q8" s="21"/>
      <c r="R8" s="21"/>
      <c r="S8" s="21"/>
      <c r="T8" s="21"/>
      <c r="U8" s="22"/>
    </row>
    <row r="9" spans="1:21" x14ac:dyDescent="0.3">
      <c r="A9" s="17">
        <v>7</v>
      </c>
      <c r="B9" s="18" t="s">
        <v>31</v>
      </c>
      <c r="C9" s="17" t="s">
        <v>32</v>
      </c>
      <c r="D9" s="19"/>
      <c r="E9" s="19"/>
      <c r="F9" s="19"/>
      <c r="G9" s="19"/>
      <c r="H9" s="19"/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  <c r="U9" s="22"/>
    </row>
    <row r="10" spans="1:21" x14ac:dyDescent="0.3">
      <c r="A10" s="23">
        <v>8</v>
      </c>
      <c r="B10" s="24" t="s">
        <v>33</v>
      </c>
      <c r="C10" s="23" t="s">
        <v>34</v>
      </c>
      <c r="D10" s="19"/>
      <c r="E10" s="19"/>
      <c r="F10" s="19"/>
      <c r="G10" s="19"/>
      <c r="H10" s="19"/>
      <c r="I10" s="20"/>
      <c r="J10" s="20"/>
      <c r="K10" s="20"/>
      <c r="L10" s="20"/>
      <c r="M10" s="20"/>
      <c r="N10" s="21"/>
      <c r="O10" s="21"/>
      <c r="P10" s="21"/>
      <c r="Q10" s="21"/>
      <c r="R10" s="21"/>
      <c r="S10" s="21"/>
      <c r="T10" s="21"/>
      <c r="U10" s="22"/>
    </row>
    <row r="11" spans="1:21" x14ac:dyDescent="0.3">
      <c r="A11" s="17">
        <v>9</v>
      </c>
      <c r="B11" s="18" t="s">
        <v>38</v>
      </c>
      <c r="C11" s="17" t="s">
        <v>39</v>
      </c>
      <c r="D11" s="19"/>
      <c r="E11" s="19"/>
      <c r="F11" s="19"/>
      <c r="G11" s="19"/>
      <c r="H11" s="19"/>
      <c r="I11" s="20"/>
      <c r="J11" s="20"/>
      <c r="K11" s="20"/>
      <c r="L11" s="20"/>
      <c r="M11" s="20"/>
      <c r="N11" s="21"/>
      <c r="O11" s="21"/>
      <c r="P11" s="21"/>
      <c r="Q11" s="21"/>
      <c r="R11" s="21"/>
      <c r="S11" s="21"/>
      <c r="T11" s="21"/>
      <c r="U11" s="22"/>
    </row>
    <row r="12" spans="1:21" x14ac:dyDescent="0.3">
      <c r="A12" s="23">
        <v>10</v>
      </c>
      <c r="B12" s="24" t="s">
        <v>40</v>
      </c>
      <c r="C12" s="23" t="s">
        <v>41</v>
      </c>
      <c r="D12" s="19"/>
      <c r="E12" s="19"/>
      <c r="F12" s="19"/>
      <c r="G12" s="19"/>
      <c r="H12" s="19"/>
      <c r="I12" s="20"/>
      <c r="J12" s="20"/>
      <c r="K12" s="20"/>
      <c r="L12" s="20"/>
      <c r="M12" s="20"/>
      <c r="N12" s="21"/>
      <c r="O12" s="21"/>
      <c r="P12" s="21"/>
      <c r="Q12" s="21"/>
      <c r="R12" s="21"/>
      <c r="S12" s="21"/>
      <c r="T12" s="21"/>
      <c r="U12" s="22"/>
    </row>
    <row r="13" spans="1:21" x14ac:dyDescent="0.3">
      <c r="A13" s="17">
        <v>11</v>
      </c>
      <c r="B13" s="18" t="s">
        <v>42</v>
      </c>
      <c r="C13" s="17" t="s">
        <v>43</v>
      </c>
      <c r="D13" s="19"/>
      <c r="E13" s="19"/>
      <c r="F13" s="19"/>
      <c r="G13" s="19"/>
      <c r="H13" s="19"/>
      <c r="I13" s="20"/>
      <c r="J13" s="20"/>
      <c r="K13" s="20"/>
      <c r="L13" s="20"/>
      <c r="M13" s="20"/>
      <c r="N13" s="21"/>
      <c r="O13" s="21"/>
      <c r="P13" s="21"/>
      <c r="Q13" s="21"/>
      <c r="R13" s="21"/>
      <c r="S13" s="21"/>
      <c r="T13" s="21"/>
      <c r="U13" s="22"/>
    </row>
    <row r="14" spans="1:21" x14ac:dyDescent="0.3">
      <c r="A14" s="23">
        <v>12</v>
      </c>
      <c r="B14" s="24" t="s">
        <v>44</v>
      </c>
      <c r="C14" s="23" t="s">
        <v>45</v>
      </c>
      <c r="D14" s="19"/>
      <c r="E14" s="19"/>
      <c r="F14" s="19"/>
      <c r="G14" s="19"/>
      <c r="H14" s="19"/>
      <c r="I14" s="20"/>
      <c r="J14" s="20"/>
      <c r="K14" s="20"/>
      <c r="L14" s="20"/>
      <c r="M14" s="20"/>
      <c r="N14" s="21"/>
      <c r="O14" s="21"/>
      <c r="P14" s="21"/>
      <c r="Q14" s="21"/>
      <c r="R14" s="21"/>
      <c r="S14" s="21"/>
      <c r="T14" s="21"/>
      <c r="U14" s="22"/>
    </row>
    <row r="15" spans="1:21" x14ac:dyDescent="0.3">
      <c r="A15" s="17">
        <v>13</v>
      </c>
      <c r="B15" s="18" t="s">
        <v>46</v>
      </c>
      <c r="C15" s="17" t="s">
        <v>47</v>
      </c>
      <c r="D15" s="19"/>
      <c r="E15" s="19"/>
      <c r="F15" s="19"/>
      <c r="G15" s="19"/>
      <c r="H15" s="19"/>
      <c r="I15" s="20"/>
      <c r="J15" s="20"/>
      <c r="K15" s="20"/>
      <c r="L15" s="20"/>
      <c r="M15" s="20"/>
      <c r="N15" s="21"/>
      <c r="O15" s="21"/>
      <c r="P15" s="21"/>
      <c r="Q15" s="21"/>
      <c r="R15" s="21"/>
      <c r="S15" s="21"/>
      <c r="T15" s="21"/>
      <c r="U15" s="22"/>
    </row>
    <row r="16" spans="1:21" x14ac:dyDescent="0.3">
      <c r="A16" s="23">
        <v>14</v>
      </c>
      <c r="B16" s="24" t="s">
        <v>48</v>
      </c>
      <c r="C16" s="23" t="s">
        <v>49</v>
      </c>
      <c r="D16" s="19"/>
      <c r="E16" s="19"/>
      <c r="F16" s="19"/>
      <c r="G16" s="19"/>
      <c r="H16" s="19"/>
      <c r="I16" s="20"/>
      <c r="J16" s="20"/>
      <c r="K16" s="20"/>
      <c r="L16" s="20"/>
      <c r="M16" s="20"/>
      <c r="N16" s="21"/>
      <c r="O16" s="21"/>
      <c r="P16" s="21"/>
      <c r="Q16" s="21"/>
      <c r="R16" s="21"/>
      <c r="S16" s="21"/>
      <c r="T16" s="21"/>
      <c r="U16" s="22"/>
    </row>
    <row r="17" spans="1:21" x14ac:dyDescent="0.3">
      <c r="A17" s="17">
        <v>15</v>
      </c>
      <c r="B17" s="18" t="s">
        <v>50</v>
      </c>
      <c r="C17" s="17" t="s">
        <v>51</v>
      </c>
      <c r="D17" s="19"/>
      <c r="E17" s="19"/>
      <c r="F17" s="19"/>
      <c r="G17" s="19"/>
      <c r="H17" s="19"/>
      <c r="I17" s="20"/>
      <c r="J17" s="20"/>
      <c r="K17" s="20"/>
      <c r="L17" s="20"/>
      <c r="M17" s="20"/>
      <c r="N17" s="21"/>
      <c r="O17" s="21"/>
      <c r="P17" s="21"/>
      <c r="Q17" s="21"/>
      <c r="R17" s="21"/>
      <c r="S17" s="21"/>
      <c r="T17" s="21"/>
      <c r="U17" s="22"/>
    </row>
    <row r="18" spans="1:21" x14ac:dyDescent="0.3">
      <c r="A18" s="23">
        <v>16</v>
      </c>
      <c r="B18" s="24" t="s">
        <v>52</v>
      </c>
      <c r="C18" s="23" t="s">
        <v>53</v>
      </c>
      <c r="D18" s="19"/>
      <c r="E18" s="19"/>
      <c r="F18" s="19"/>
      <c r="G18" s="19"/>
      <c r="H18" s="19"/>
      <c r="I18" s="20"/>
      <c r="J18" s="20"/>
      <c r="K18" s="20"/>
      <c r="L18" s="20"/>
      <c r="M18" s="20"/>
      <c r="N18" s="21"/>
      <c r="O18" s="21"/>
      <c r="P18" s="21"/>
      <c r="Q18" s="21"/>
      <c r="R18" s="21"/>
      <c r="S18" s="21"/>
      <c r="T18" s="21"/>
      <c r="U18" s="22"/>
    </row>
    <row r="19" spans="1:21" x14ac:dyDescent="0.3">
      <c r="A19" s="17">
        <v>17</v>
      </c>
      <c r="B19" s="18" t="s">
        <v>54</v>
      </c>
      <c r="C19" s="17" t="s">
        <v>55</v>
      </c>
      <c r="D19" s="19"/>
      <c r="E19" s="19"/>
      <c r="F19" s="19"/>
      <c r="G19" s="19"/>
      <c r="H19" s="19"/>
      <c r="I19" s="20"/>
      <c r="J19" s="20"/>
      <c r="K19" s="20"/>
      <c r="L19" s="20"/>
      <c r="M19" s="20"/>
      <c r="N19" s="21"/>
      <c r="O19" s="21"/>
      <c r="P19" s="21"/>
      <c r="Q19" s="21"/>
      <c r="R19" s="21"/>
      <c r="S19" s="21"/>
      <c r="T19" s="21"/>
      <c r="U19" s="22"/>
    </row>
    <row r="20" spans="1:21" x14ac:dyDescent="0.3">
      <c r="A20" s="23">
        <v>18</v>
      </c>
      <c r="B20" s="24" t="s">
        <v>56</v>
      </c>
      <c r="C20" s="23" t="s">
        <v>57</v>
      </c>
      <c r="D20" s="19"/>
      <c r="E20" s="19"/>
      <c r="F20" s="19"/>
      <c r="G20" s="19"/>
      <c r="H20" s="19"/>
      <c r="I20" s="20"/>
      <c r="J20" s="20"/>
      <c r="K20" s="20"/>
      <c r="L20" s="20"/>
      <c r="M20" s="20"/>
      <c r="N20" s="21"/>
      <c r="O20" s="21"/>
      <c r="P20" s="21"/>
      <c r="Q20" s="21"/>
      <c r="R20" s="21"/>
      <c r="S20" s="21"/>
      <c r="T20" s="21"/>
      <c r="U20" s="22"/>
    </row>
    <row r="21" spans="1:21" x14ac:dyDescent="0.3">
      <c r="A21" s="17">
        <v>19</v>
      </c>
      <c r="B21" s="18" t="s">
        <v>58</v>
      </c>
      <c r="C21" s="17" t="s">
        <v>59</v>
      </c>
      <c r="D21" s="19"/>
      <c r="E21" s="19"/>
      <c r="F21" s="19"/>
      <c r="G21" s="19"/>
      <c r="H21" s="19"/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1"/>
      <c r="U21" s="22"/>
    </row>
    <row r="22" spans="1:21" x14ac:dyDescent="0.3">
      <c r="A22" s="23">
        <v>20</v>
      </c>
      <c r="B22" s="24" t="s">
        <v>60</v>
      </c>
      <c r="C22" s="23" t="s">
        <v>61</v>
      </c>
      <c r="D22" s="19"/>
      <c r="E22" s="19"/>
      <c r="F22" s="19"/>
      <c r="G22" s="19"/>
      <c r="H22" s="19"/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2"/>
    </row>
    <row r="23" spans="1:21" x14ac:dyDescent="0.3">
      <c r="A23" s="17">
        <v>21</v>
      </c>
      <c r="B23" s="18" t="s">
        <v>62</v>
      </c>
      <c r="C23" s="17" t="s">
        <v>63</v>
      </c>
      <c r="D23" s="19"/>
      <c r="E23" s="19"/>
      <c r="F23" s="19"/>
      <c r="G23" s="19"/>
      <c r="H23" s="19"/>
      <c r="I23" s="20"/>
      <c r="J23" s="20"/>
      <c r="K23" s="20"/>
      <c r="L23" s="20"/>
      <c r="M23" s="20"/>
      <c r="N23" s="21"/>
      <c r="O23" s="21"/>
      <c r="P23" s="21"/>
      <c r="Q23" s="21"/>
      <c r="R23" s="21"/>
      <c r="S23" s="21"/>
      <c r="T23" s="21"/>
      <c r="U23" s="22"/>
    </row>
    <row r="24" spans="1:21" x14ac:dyDescent="0.3">
      <c r="A24" s="23">
        <v>22</v>
      </c>
      <c r="B24" s="24" t="s">
        <v>64</v>
      </c>
      <c r="C24" s="23" t="s">
        <v>65</v>
      </c>
      <c r="D24" s="19"/>
      <c r="E24" s="19"/>
      <c r="F24" s="19"/>
      <c r="G24" s="19"/>
      <c r="H24" s="19"/>
      <c r="I24" s="20"/>
      <c r="J24" s="20"/>
      <c r="K24" s="20"/>
      <c r="L24" s="20"/>
      <c r="M24" s="20"/>
      <c r="N24" s="21"/>
      <c r="O24" s="21"/>
      <c r="P24" s="21"/>
      <c r="Q24" s="21"/>
      <c r="R24" s="21"/>
      <c r="S24" s="21"/>
      <c r="T24" s="21"/>
      <c r="U24" s="22"/>
    </row>
    <row r="25" spans="1:21" x14ac:dyDescent="0.3">
      <c r="A25" s="17">
        <v>23</v>
      </c>
      <c r="B25" s="18" t="s">
        <v>66</v>
      </c>
      <c r="C25" s="17" t="s">
        <v>67</v>
      </c>
      <c r="D25" s="19"/>
      <c r="E25" s="19"/>
      <c r="F25" s="19"/>
      <c r="G25" s="19"/>
      <c r="H25" s="19"/>
      <c r="I25" s="20"/>
      <c r="J25" s="20"/>
      <c r="K25" s="20"/>
      <c r="L25" s="20"/>
      <c r="M25" s="20"/>
      <c r="N25" s="21"/>
      <c r="O25" s="21"/>
      <c r="P25" s="21"/>
      <c r="Q25" s="21"/>
      <c r="R25" s="21"/>
      <c r="S25" s="21"/>
      <c r="T25" s="21"/>
      <c r="U25" s="22"/>
    </row>
    <row r="26" spans="1:21" x14ac:dyDescent="0.3">
      <c r="A26" s="23">
        <v>24</v>
      </c>
      <c r="B26" s="24" t="s">
        <v>68</v>
      </c>
      <c r="C26" s="23" t="s">
        <v>69</v>
      </c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1"/>
      <c r="O26" s="21"/>
      <c r="P26" s="21"/>
      <c r="Q26" s="21"/>
      <c r="R26" s="21"/>
      <c r="S26" s="21"/>
      <c r="T26" s="21"/>
      <c r="U26" s="22"/>
    </row>
    <row r="27" spans="1:21" x14ac:dyDescent="0.3">
      <c r="A27" s="17">
        <v>25</v>
      </c>
      <c r="B27" s="18" t="s">
        <v>70</v>
      </c>
      <c r="C27" s="17" t="s">
        <v>71</v>
      </c>
      <c r="D27" s="19"/>
      <c r="E27" s="19"/>
      <c r="F27" s="19"/>
      <c r="G27" s="19"/>
      <c r="H27" s="19"/>
      <c r="I27" s="20"/>
      <c r="J27" s="20"/>
      <c r="K27" s="20"/>
      <c r="L27" s="20"/>
      <c r="M27" s="20"/>
      <c r="N27" s="21"/>
      <c r="O27" s="21"/>
      <c r="P27" s="21"/>
      <c r="Q27" s="21"/>
      <c r="R27" s="21"/>
      <c r="S27" s="21"/>
      <c r="T27" s="21"/>
      <c r="U27" s="22"/>
    </row>
    <row r="30" spans="1:21" x14ac:dyDescent="0.3">
      <c r="A30" s="25" t="s">
        <v>87</v>
      </c>
      <c r="B30" s="21"/>
    </row>
  </sheetData>
  <mergeCells count="5">
    <mergeCell ref="A1:C1"/>
    <mergeCell ref="D1:H1"/>
    <mergeCell ref="I1:M1"/>
    <mergeCell ref="N1:P1"/>
    <mergeCell ref="Q1:T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6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ColWidth="8.6640625" defaultRowHeight="14.4" x14ac:dyDescent="0.3"/>
  <cols>
    <col min="1" max="2" width="5" customWidth="1"/>
    <col min="3" max="3" width="17" customWidth="1"/>
    <col min="4" max="4" width="26" customWidth="1"/>
    <col min="5" max="5" width="20" customWidth="1"/>
    <col min="6" max="6" width="5" customWidth="1"/>
    <col min="7" max="8" width="8" customWidth="1"/>
    <col min="9" max="12" width="9" customWidth="1"/>
    <col min="13" max="14" width="13" customWidth="1"/>
    <col min="15" max="15" width="9" customWidth="1"/>
    <col min="16" max="16" width="12" customWidth="1"/>
    <col min="17" max="18" width="13" customWidth="1"/>
  </cols>
  <sheetData>
    <row r="1" spans="1:18" ht="43.5" customHeight="1" x14ac:dyDescent="0.3">
      <c r="A1" s="9" t="s">
        <v>73</v>
      </c>
      <c r="B1" s="9" t="s">
        <v>3</v>
      </c>
      <c r="C1" s="9" t="s">
        <v>4</v>
      </c>
      <c r="D1" s="9" t="s">
        <v>5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</row>
    <row r="2" spans="1:18" x14ac:dyDescent="0.3">
      <c r="A2" s="17">
        <v>1</v>
      </c>
      <c r="B2" s="17">
        <v>1</v>
      </c>
      <c r="C2" s="17" t="s">
        <v>12</v>
      </c>
      <c r="D2" s="26" t="s">
        <v>13</v>
      </c>
      <c r="E2" s="26" t="s">
        <v>74</v>
      </c>
      <c r="F2" s="17">
        <v>1</v>
      </c>
      <c r="G2" s="17"/>
      <c r="H2" s="27"/>
      <c r="I2" s="28">
        <v>0.6</v>
      </c>
      <c r="J2" s="28">
        <v>0.6</v>
      </c>
      <c r="K2" s="29">
        <f t="shared" ref="K2:K33" si="0">J2-I2</f>
        <v>0</v>
      </c>
      <c r="L2" s="12" t="str">
        <f>VLOOKUP(TEXT(B2,"00"),'Blinding key'!$A$2:$G$26,7,FALSE())</f>
        <v>B</v>
      </c>
      <c r="M2" s="30" t="str">
        <f>IFERROR(AVERAGE(INDEX('R1'!$D$3:$M$27,$B2,IF($L2="A",$F2,$F2+5)),INDEX('R2'!$D$3:$M$27,$B2,IF($L2="A",$F2,$F2+5)),INDEX('R3'!$D$3:$M$27,$B2,IF($L2="A",$F2,$F2+5))),"")</f>
        <v/>
      </c>
      <c r="N2" s="30" t="str">
        <f>IFERROR(AVERAGE(INDEX('R1'!$D$3:$M$27,$B2,IF($L2="A",$F2+5,$F2)),INDEX('R2'!$D$3:$M$27,$B2,IF($L2="A",$F2+5,$F2)),INDEX('R3'!$D$3:$M$27,$B2,IF($L2="A",$F2+5,$F2))),"")</f>
        <v/>
      </c>
      <c r="O2" s="29" t="str">
        <f t="shared" ref="O2:O33" si="1">IF(OR(M2="",N2=""),"",N2-M2)</f>
        <v/>
      </c>
      <c r="P2" s="10" t="str">
        <f t="shared" ref="P2:P33" si="2">IF(O2="","",IF(SIGN(ROUND(O2,6))=SIGN(ROUND(K2,6)),1,0))</f>
        <v/>
      </c>
      <c r="Q2" s="10" t="str">
        <f t="shared" ref="Q2:Q33" si="3">IF(OR(G2&lt;&gt;"Y",O2=""),"",IF(SIGN(ROUND(O2,6))=SIGN(ROUND(H2-I2,6)),1,0))</f>
        <v/>
      </c>
      <c r="R2" s="10" t="str">
        <f t="shared" ref="R2:R33" si="4">IF(G2&lt;&gt;"Y","",IF(SIGN(ROUND(K2,6))=SIGN(ROUND(H2-I2,6)),1,0))</f>
        <v/>
      </c>
    </row>
    <row r="3" spans="1:18" x14ac:dyDescent="0.3">
      <c r="A3" s="17">
        <v>2</v>
      </c>
      <c r="B3" s="17">
        <v>1</v>
      </c>
      <c r="C3" s="17" t="s">
        <v>12</v>
      </c>
      <c r="D3" s="26" t="s">
        <v>13</v>
      </c>
      <c r="E3" s="31" t="s">
        <v>15</v>
      </c>
      <c r="F3" s="17">
        <v>2</v>
      </c>
      <c r="G3" s="17" t="s">
        <v>102</v>
      </c>
      <c r="H3" s="27">
        <v>0.3</v>
      </c>
      <c r="I3" s="28">
        <v>0.8</v>
      </c>
      <c r="J3" s="28">
        <v>0.4</v>
      </c>
      <c r="K3" s="29">
        <f t="shared" si="0"/>
        <v>-0.4</v>
      </c>
      <c r="L3" s="12" t="str">
        <f>VLOOKUP(TEXT(B3,"00"),'Blinding key'!$A$2:$G$26,7,FALSE())</f>
        <v>B</v>
      </c>
      <c r="M3" s="30" t="str">
        <f>IFERROR(AVERAGE(INDEX('R1'!$D$3:$M$27,$B3,IF($L3="A",$F3,$F3+5)),INDEX('R2'!$D$3:$M$27,$B3,IF($L3="A",$F3,$F3+5)),INDEX('R3'!$D$3:$M$27,$B3,IF($L3="A",$F3,$F3+5))),"")</f>
        <v/>
      </c>
      <c r="N3" s="30" t="str">
        <f>IFERROR(AVERAGE(INDEX('R1'!$D$3:$M$27,$B3,IF($L3="A",$F3+5,$F3)),INDEX('R2'!$D$3:$M$27,$B3,IF($L3="A",$F3+5,$F3)),INDEX('R3'!$D$3:$M$27,$B3,IF($L3="A",$F3+5,$F3))),"")</f>
        <v/>
      </c>
      <c r="O3" s="29" t="str">
        <f t="shared" si="1"/>
        <v/>
      </c>
      <c r="P3" s="10" t="str">
        <f t="shared" si="2"/>
        <v/>
      </c>
      <c r="Q3" s="10" t="str">
        <f t="shared" si="3"/>
        <v/>
      </c>
      <c r="R3" s="10">
        <f t="shared" si="4"/>
        <v>1</v>
      </c>
    </row>
    <row r="4" spans="1:18" x14ac:dyDescent="0.3">
      <c r="A4" s="17">
        <v>3</v>
      </c>
      <c r="B4" s="17">
        <v>1</v>
      </c>
      <c r="C4" s="17" t="s">
        <v>12</v>
      </c>
      <c r="D4" s="26" t="s">
        <v>13</v>
      </c>
      <c r="E4" s="26" t="s">
        <v>26</v>
      </c>
      <c r="F4" s="17">
        <v>3</v>
      </c>
      <c r="G4" s="17"/>
      <c r="H4" s="27"/>
      <c r="I4" s="28">
        <v>0.4</v>
      </c>
      <c r="J4" s="28">
        <v>0.3</v>
      </c>
      <c r="K4" s="29">
        <f t="shared" si="0"/>
        <v>-0.10000000000000003</v>
      </c>
      <c r="L4" s="12" t="str">
        <f>VLOOKUP(TEXT(B4,"00"),'Blinding key'!$A$2:$G$26,7,FALSE())</f>
        <v>B</v>
      </c>
      <c r="M4" s="30" t="str">
        <f>IFERROR(AVERAGE(INDEX('R1'!$D$3:$M$27,$B4,IF($L4="A",$F4,$F4+5)),INDEX('R2'!$D$3:$M$27,$B4,IF($L4="A",$F4,$F4+5)),INDEX('R3'!$D$3:$M$27,$B4,IF($L4="A",$F4,$F4+5))),"")</f>
        <v/>
      </c>
      <c r="N4" s="30" t="str">
        <f>IFERROR(AVERAGE(INDEX('R1'!$D$3:$M$27,$B4,IF($L4="A",$F4+5,$F4)),INDEX('R2'!$D$3:$M$27,$B4,IF($L4="A",$F4+5,$F4)),INDEX('R3'!$D$3:$M$27,$B4,IF($L4="A",$F4+5,$F4))),"")</f>
        <v/>
      </c>
      <c r="O4" s="29" t="str">
        <f t="shared" si="1"/>
        <v/>
      </c>
      <c r="P4" s="10" t="str">
        <f t="shared" si="2"/>
        <v/>
      </c>
      <c r="Q4" s="10" t="str">
        <f t="shared" si="3"/>
        <v/>
      </c>
      <c r="R4" s="10" t="str">
        <f t="shared" si="4"/>
        <v/>
      </c>
    </row>
    <row r="5" spans="1:18" x14ac:dyDescent="0.3">
      <c r="A5" s="17">
        <v>4</v>
      </c>
      <c r="B5" s="17">
        <v>1</v>
      </c>
      <c r="C5" s="17" t="s">
        <v>12</v>
      </c>
      <c r="D5" s="26" t="s">
        <v>13</v>
      </c>
      <c r="E5" s="26" t="s">
        <v>37</v>
      </c>
      <c r="F5" s="17">
        <v>4</v>
      </c>
      <c r="G5" s="17"/>
      <c r="H5" s="27"/>
      <c r="I5" s="28">
        <v>0.9</v>
      </c>
      <c r="J5" s="28">
        <v>0.5</v>
      </c>
      <c r="K5" s="29">
        <f t="shared" si="0"/>
        <v>-0.4</v>
      </c>
      <c r="L5" s="12" t="str">
        <f>VLOOKUP(TEXT(B5,"00"),'Blinding key'!$A$2:$G$26,7,FALSE())</f>
        <v>B</v>
      </c>
      <c r="M5" s="30" t="str">
        <f>IFERROR(AVERAGE(INDEX('R1'!$D$3:$M$27,$B5,IF($L5="A",$F5,$F5+5)),INDEX('R2'!$D$3:$M$27,$B5,IF($L5="A",$F5,$F5+5)),INDEX('R3'!$D$3:$M$27,$B5,IF($L5="A",$F5,$F5+5))),"")</f>
        <v/>
      </c>
      <c r="N5" s="30" t="str">
        <f>IFERROR(AVERAGE(INDEX('R1'!$D$3:$M$27,$B5,IF($L5="A",$F5+5,$F5)),INDEX('R2'!$D$3:$M$27,$B5,IF($L5="A",$F5+5,$F5)),INDEX('R3'!$D$3:$M$27,$B5,IF($L5="A",$F5+5,$F5))),"")</f>
        <v/>
      </c>
      <c r="O5" s="29" t="str">
        <f t="shared" si="1"/>
        <v/>
      </c>
      <c r="P5" s="10" t="str">
        <f t="shared" si="2"/>
        <v/>
      </c>
      <c r="Q5" s="10" t="str">
        <f t="shared" si="3"/>
        <v/>
      </c>
      <c r="R5" s="10" t="str">
        <f t="shared" si="4"/>
        <v/>
      </c>
    </row>
    <row r="6" spans="1:18" x14ac:dyDescent="0.3">
      <c r="A6" s="17">
        <v>5</v>
      </c>
      <c r="B6" s="17">
        <v>1</v>
      </c>
      <c r="C6" s="17" t="s">
        <v>12</v>
      </c>
      <c r="D6" s="26" t="s">
        <v>13</v>
      </c>
      <c r="E6" s="26" t="s">
        <v>103</v>
      </c>
      <c r="F6" s="17">
        <v>5</v>
      </c>
      <c r="G6" s="17"/>
      <c r="H6" s="27"/>
      <c r="I6" s="28">
        <v>0.3</v>
      </c>
      <c r="J6" s="28">
        <v>0.2</v>
      </c>
      <c r="K6" s="29">
        <f t="shared" si="0"/>
        <v>-9.9999999999999978E-2</v>
      </c>
      <c r="L6" s="12" t="str">
        <f>VLOOKUP(TEXT(B6,"00"),'Blinding key'!$A$2:$G$26,7,FALSE())</f>
        <v>B</v>
      </c>
      <c r="M6" s="30" t="str">
        <f>IFERROR(AVERAGE(INDEX('R1'!$D$3:$M$27,$B6,IF($L6="A",$F6,$F6+5)),INDEX('R2'!$D$3:$M$27,$B6,IF($L6="A",$F6,$F6+5)),INDEX('R3'!$D$3:$M$27,$B6,IF($L6="A",$F6,$F6+5))),"")</f>
        <v/>
      </c>
      <c r="N6" s="30" t="str">
        <f>IFERROR(AVERAGE(INDEX('R1'!$D$3:$M$27,$B6,IF($L6="A",$F6+5,$F6)),INDEX('R2'!$D$3:$M$27,$B6,IF($L6="A",$F6+5,$F6)),INDEX('R3'!$D$3:$M$27,$B6,IF($L6="A",$F6+5,$F6))),"")</f>
        <v/>
      </c>
      <c r="O6" s="29" t="str">
        <f t="shared" si="1"/>
        <v/>
      </c>
      <c r="P6" s="10" t="str">
        <f t="shared" si="2"/>
        <v/>
      </c>
      <c r="Q6" s="10" t="str">
        <f t="shared" si="3"/>
        <v/>
      </c>
      <c r="R6" s="10" t="str">
        <f t="shared" si="4"/>
        <v/>
      </c>
    </row>
    <row r="7" spans="1:18" x14ac:dyDescent="0.3">
      <c r="A7" s="23">
        <v>6</v>
      </c>
      <c r="B7" s="23">
        <v>2</v>
      </c>
      <c r="C7" s="23" t="s">
        <v>19</v>
      </c>
      <c r="D7" s="32" t="s">
        <v>13</v>
      </c>
      <c r="E7" s="32" t="s">
        <v>74</v>
      </c>
      <c r="F7" s="23">
        <v>1</v>
      </c>
      <c r="G7" s="23"/>
      <c r="H7" s="33"/>
      <c r="I7" s="28">
        <v>0.5</v>
      </c>
      <c r="J7" s="28">
        <v>0.7</v>
      </c>
      <c r="K7" s="29">
        <f t="shared" si="0"/>
        <v>0.19999999999999996</v>
      </c>
      <c r="L7" s="12" t="str">
        <f>VLOOKUP(TEXT(B7,"00"),'Blinding key'!$A$2:$G$26,7,FALSE())</f>
        <v>A</v>
      </c>
      <c r="M7" s="30" t="str">
        <f>IFERROR(AVERAGE(INDEX('R1'!$D$3:$M$27,$B7,IF($L7="A",$F7,$F7+5)),INDEX('R2'!$D$3:$M$27,$B7,IF($L7="A",$F7,$F7+5)),INDEX('R3'!$D$3:$M$27,$B7,IF($L7="A",$F7,$F7+5))),"")</f>
        <v/>
      </c>
      <c r="N7" s="30" t="str">
        <f>IFERROR(AVERAGE(INDEX('R1'!$D$3:$M$27,$B7,IF($L7="A",$F7+5,$F7)),INDEX('R2'!$D$3:$M$27,$B7,IF($L7="A",$F7+5,$F7)),INDEX('R3'!$D$3:$M$27,$B7,IF($L7="A",$F7+5,$F7))),"")</f>
        <v/>
      </c>
      <c r="O7" s="29" t="str">
        <f t="shared" si="1"/>
        <v/>
      </c>
      <c r="P7" s="10" t="str">
        <f t="shared" si="2"/>
        <v/>
      </c>
      <c r="Q7" s="10" t="str">
        <f t="shared" si="3"/>
        <v/>
      </c>
      <c r="R7" s="10" t="str">
        <f t="shared" si="4"/>
        <v/>
      </c>
    </row>
    <row r="8" spans="1:18" x14ac:dyDescent="0.3">
      <c r="A8" s="23">
        <v>7</v>
      </c>
      <c r="B8" s="23">
        <v>2</v>
      </c>
      <c r="C8" s="23" t="s">
        <v>19</v>
      </c>
      <c r="D8" s="32" t="s">
        <v>13</v>
      </c>
      <c r="E8" s="34" t="s">
        <v>15</v>
      </c>
      <c r="F8" s="23">
        <v>2</v>
      </c>
      <c r="G8" s="23" t="s">
        <v>102</v>
      </c>
      <c r="H8" s="33">
        <v>0.8</v>
      </c>
      <c r="I8" s="28">
        <v>0</v>
      </c>
      <c r="J8" s="28">
        <v>0.8</v>
      </c>
      <c r="K8" s="29">
        <f t="shared" si="0"/>
        <v>0.8</v>
      </c>
      <c r="L8" s="12" t="str">
        <f>VLOOKUP(TEXT(B8,"00"),'Blinding key'!$A$2:$G$26,7,FALSE())</f>
        <v>A</v>
      </c>
      <c r="M8" s="30" t="str">
        <f>IFERROR(AVERAGE(INDEX('R1'!$D$3:$M$27,$B8,IF($L8="A",$F8,$F8+5)),INDEX('R2'!$D$3:$M$27,$B8,IF($L8="A",$F8,$F8+5)),INDEX('R3'!$D$3:$M$27,$B8,IF($L8="A",$F8,$F8+5))),"")</f>
        <v/>
      </c>
      <c r="N8" s="30" t="str">
        <f>IFERROR(AVERAGE(INDEX('R1'!$D$3:$M$27,$B8,IF($L8="A",$F8+5,$F8)),INDEX('R2'!$D$3:$M$27,$B8,IF($L8="A",$F8+5,$F8)),INDEX('R3'!$D$3:$M$27,$B8,IF($L8="A",$F8+5,$F8))),"")</f>
        <v/>
      </c>
      <c r="O8" s="29" t="str">
        <f t="shared" si="1"/>
        <v/>
      </c>
      <c r="P8" s="10" t="str">
        <f t="shared" si="2"/>
        <v/>
      </c>
      <c r="Q8" s="10" t="str">
        <f t="shared" si="3"/>
        <v/>
      </c>
      <c r="R8" s="10">
        <f t="shared" si="4"/>
        <v>1</v>
      </c>
    </row>
    <row r="9" spans="1:18" x14ac:dyDescent="0.3">
      <c r="A9" s="23">
        <v>8</v>
      </c>
      <c r="B9" s="23">
        <v>2</v>
      </c>
      <c r="C9" s="23" t="s">
        <v>19</v>
      </c>
      <c r="D9" s="32" t="s">
        <v>13</v>
      </c>
      <c r="E9" s="32" t="s">
        <v>26</v>
      </c>
      <c r="F9" s="23">
        <v>3</v>
      </c>
      <c r="G9" s="23"/>
      <c r="H9" s="33"/>
      <c r="I9" s="28">
        <v>1</v>
      </c>
      <c r="J9" s="28">
        <v>0.5</v>
      </c>
      <c r="K9" s="29">
        <f t="shared" si="0"/>
        <v>-0.5</v>
      </c>
      <c r="L9" s="12" t="str">
        <f>VLOOKUP(TEXT(B9,"00"),'Blinding key'!$A$2:$G$26,7,FALSE())</f>
        <v>A</v>
      </c>
      <c r="M9" s="30" t="str">
        <f>IFERROR(AVERAGE(INDEX('R1'!$D$3:$M$27,$B9,IF($L9="A",$F9,$F9+5)),INDEX('R2'!$D$3:$M$27,$B9,IF($L9="A",$F9,$F9+5)),INDEX('R3'!$D$3:$M$27,$B9,IF($L9="A",$F9,$F9+5))),"")</f>
        <v/>
      </c>
      <c r="N9" s="30" t="str">
        <f>IFERROR(AVERAGE(INDEX('R1'!$D$3:$M$27,$B9,IF($L9="A",$F9+5,$F9)),INDEX('R2'!$D$3:$M$27,$B9,IF($L9="A",$F9+5,$F9)),INDEX('R3'!$D$3:$M$27,$B9,IF($L9="A",$F9+5,$F9))),"")</f>
        <v/>
      </c>
      <c r="O9" s="29" t="str">
        <f t="shared" si="1"/>
        <v/>
      </c>
      <c r="P9" s="10" t="str">
        <f t="shared" si="2"/>
        <v/>
      </c>
      <c r="Q9" s="10" t="str">
        <f t="shared" si="3"/>
        <v/>
      </c>
      <c r="R9" s="10" t="str">
        <f t="shared" si="4"/>
        <v/>
      </c>
    </row>
    <row r="10" spans="1:18" x14ac:dyDescent="0.3">
      <c r="A10" s="23">
        <v>9</v>
      </c>
      <c r="B10" s="23">
        <v>2</v>
      </c>
      <c r="C10" s="23" t="s">
        <v>19</v>
      </c>
      <c r="D10" s="32" t="s">
        <v>13</v>
      </c>
      <c r="E10" s="32" t="s">
        <v>37</v>
      </c>
      <c r="F10" s="23">
        <v>4</v>
      </c>
      <c r="G10" s="23"/>
      <c r="H10" s="33"/>
      <c r="I10" s="28">
        <v>0</v>
      </c>
      <c r="J10" s="28">
        <v>0.9</v>
      </c>
      <c r="K10" s="29">
        <f t="shared" si="0"/>
        <v>0.9</v>
      </c>
      <c r="L10" s="12" t="str">
        <f>VLOOKUP(TEXT(B10,"00"),'Blinding key'!$A$2:$G$26,7,FALSE())</f>
        <v>A</v>
      </c>
      <c r="M10" s="30" t="str">
        <f>IFERROR(AVERAGE(INDEX('R1'!$D$3:$M$27,$B10,IF($L10="A",$F10,$F10+5)),INDEX('R2'!$D$3:$M$27,$B10,IF($L10="A",$F10,$F10+5)),INDEX('R3'!$D$3:$M$27,$B10,IF($L10="A",$F10,$F10+5))),"")</f>
        <v/>
      </c>
      <c r="N10" s="30" t="str">
        <f>IFERROR(AVERAGE(INDEX('R1'!$D$3:$M$27,$B10,IF($L10="A",$F10+5,$F10)),INDEX('R2'!$D$3:$M$27,$B10,IF($L10="A",$F10+5,$F10)),INDEX('R3'!$D$3:$M$27,$B10,IF($L10="A",$F10+5,$F10))),"")</f>
        <v/>
      </c>
      <c r="O10" s="29" t="str">
        <f t="shared" si="1"/>
        <v/>
      </c>
      <c r="P10" s="10" t="str">
        <f t="shared" si="2"/>
        <v/>
      </c>
      <c r="Q10" s="10" t="str">
        <f t="shared" si="3"/>
        <v/>
      </c>
      <c r="R10" s="10" t="str">
        <f t="shared" si="4"/>
        <v/>
      </c>
    </row>
    <row r="11" spans="1:18" x14ac:dyDescent="0.3">
      <c r="A11" s="23">
        <v>10</v>
      </c>
      <c r="B11" s="23">
        <v>2</v>
      </c>
      <c r="C11" s="23" t="s">
        <v>19</v>
      </c>
      <c r="D11" s="32" t="s">
        <v>13</v>
      </c>
      <c r="E11" s="32" t="s">
        <v>103</v>
      </c>
      <c r="F11" s="23">
        <v>5</v>
      </c>
      <c r="G11" s="23"/>
      <c r="H11" s="33"/>
      <c r="I11" s="28">
        <v>0.3</v>
      </c>
      <c r="J11" s="28">
        <v>0.6</v>
      </c>
      <c r="K11" s="29">
        <f t="shared" si="0"/>
        <v>0.3</v>
      </c>
      <c r="L11" s="12" t="str">
        <f>VLOOKUP(TEXT(B11,"00"),'Blinding key'!$A$2:$G$26,7,FALSE())</f>
        <v>A</v>
      </c>
      <c r="M11" s="30" t="str">
        <f>IFERROR(AVERAGE(INDEX('R1'!$D$3:$M$27,$B11,IF($L11="A",$F11,$F11+5)),INDEX('R2'!$D$3:$M$27,$B11,IF($L11="A",$F11,$F11+5)),INDEX('R3'!$D$3:$M$27,$B11,IF($L11="A",$F11,$F11+5))),"")</f>
        <v/>
      </c>
      <c r="N11" s="30" t="str">
        <f>IFERROR(AVERAGE(INDEX('R1'!$D$3:$M$27,$B11,IF($L11="A",$F11+5,$F11)),INDEX('R2'!$D$3:$M$27,$B11,IF($L11="A",$F11+5,$F11)),INDEX('R3'!$D$3:$M$27,$B11,IF($L11="A",$F11+5,$F11))),"")</f>
        <v/>
      </c>
      <c r="O11" s="29" t="str">
        <f t="shared" si="1"/>
        <v/>
      </c>
      <c r="P11" s="10" t="str">
        <f t="shared" si="2"/>
        <v/>
      </c>
      <c r="Q11" s="10" t="str">
        <f t="shared" si="3"/>
        <v/>
      </c>
      <c r="R11" s="10" t="str">
        <f t="shared" si="4"/>
        <v/>
      </c>
    </row>
    <row r="12" spans="1:18" x14ac:dyDescent="0.3">
      <c r="A12" s="17">
        <v>11</v>
      </c>
      <c r="B12" s="17">
        <v>3</v>
      </c>
      <c r="C12" s="17" t="s">
        <v>21</v>
      </c>
      <c r="D12" s="26" t="s">
        <v>13</v>
      </c>
      <c r="E12" s="26" t="s">
        <v>74</v>
      </c>
      <c r="F12" s="17">
        <v>1</v>
      </c>
      <c r="G12" s="17"/>
      <c r="H12" s="27"/>
      <c r="I12" s="28">
        <v>0.6</v>
      </c>
      <c r="J12" s="28">
        <v>0.6</v>
      </c>
      <c r="K12" s="29">
        <f t="shared" si="0"/>
        <v>0</v>
      </c>
      <c r="L12" s="12" t="str">
        <f>VLOOKUP(TEXT(B12,"00"),'Blinding key'!$A$2:$G$26,7,FALSE())</f>
        <v>A</v>
      </c>
      <c r="M12" s="30" t="str">
        <f>IFERROR(AVERAGE(INDEX('R1'!$D$3:$M$27,$B12,IF($L12="A",$F12,$F12+5)),INDEX('R2'!$D$3:$M$27,$B12,IF($L12="A",$F12,$F12+5)),INDEX('R3'!$D$3:$M$27,$B12,IF($L12="A",$F12,$F12+5))),"")</f>
        <v/>
      </c>
      <c r="N12" s="30" t="str">
        <f>IFERROR(AVERAGE(INDEX('R1'!$D$3:$M$27,$B12,IF($L12="A",$F12+5,$F12)),INDEX('R2'!$D$3:$M$27,$B12,IF($L12="A",$F12+5,$F12)),INDEX('R3'!$D$3:$M$27,$B12,IF($L12="A",$F12+5,$F12))),"")</f>
        <v/>
      </c>
      <c r="O12" s="29" t="str">
        <f t="shared" si="1"/>
        <v/>
      </c>
      <c r="P12" s="10" t="str">
        <f t="shared" si="2"/>
        <v/>
      </c>
      <c r="Q12" s="10" t="str">
        <f t="shared" si="3"/>
        <v/>
      </c>
      <c r="R12" s="10" t="str">
        <f t="shared" si="4"/>
        <v/>
      </c>
    </row>
    <row r="13" spans="1:18" x14ac:dyDescent="0.3">
      <c r="A13" s="17">
        <v>12</v>
      </c>
      <c r="B13" s="17">
        <v>3</v>
      </c>
      <c r="C13" s="17" t="s">
        <v>21</v>
      </c>
      <c r="D13" s="26" t="s">
        <v>13</v>
      </c>
      <c r="E13" s="31" t="s">
        <v>15</v>
      </c>
      <c r="F13" s="17">
        <v>2</v>
      </c>
      <c r="G13" s="17" t="s">
        <v>102</v>
      </c>
      <c r="H13" s="27">
        <v>0.4</v>
      </c>
      <c r="I13" s="28">
        <v>0.4</v>
      </c>
      <c r="J13" s="28">
        <v>0.4</v>
      </c>
      <c r="K13" s="29">
        <f t="shared" si="0"/>
        <v>0</v>
      </c>
      <c r="L13" s="12" t="str">
        <f>VLOOKUP(TEXT(B13,"00"),'Blinding key'!$A$2:$G$26,7,FALSE())</f>
        <v>A</v>
      </c>
      <c r="M13" s="30" t="str">
        <f>IFERROR(AVERAGE(INDEX('R1'!$D$3:$M$27,$B13,IF($L13="A",$F13,$F13+5)),INDEX('R2'!$D$3:$M$27,$B13,IF($L13="A",$F13,$F13+5)),INDEX('R3'!$D$3:$M$27,$B13,IF($L13="A",$F13,$F13+5))),"")</f>
        <v/>
      </c>
      <c r="N13" s="30" t="str">
        <f>IFERROR(AVERAGE(INDEX('R1'!$D$3:$M$27,$B13,IF($L13="A",$F13+5,$F13)),INDEX('R2'!$D$3:$M$27,$B13,IF($L13="A",$F13+5,$F13)),INDEX('R3'!$D$3:$M$27,$B13,IF($L13="A",$F13+5,$F13))),"")</f>
        <v/>
      </c>
      <c r="O13" s="29" t="str">
        <f t="shared" si="1"/>
        <v/>
      </c>
      <c r="P13" s="10" t="str">
        <f t="shared" si="2"/>
        <v/>
      </c>
      <c r="Q13" s="10" t="str">
        <f t="shared" si="3"/>
        <v/>
      </c>
      <c r="R13" s="10">
        <f t="shared" si="4"/>
        <v>1</v>
      </c>
    </row>
    <row r="14" spans="1:18" x14ac:dyDescent="0.3">
      <c r="A14" s="17">
        <v>13</v>
      </c>
      <c r="B14" s="17">
        <v>3</v>
      </c>
      <c r="C14" s="17" t="s">
        <v>21</v>
      </c>
      <c r="D14" s="26" t="s">
        <v>13</v>
      </c>
      <c r="E14" s="26" t="s">
        <v>26</v>
      </c>
      <c r="F14" s="17">
        <v>3</v>
      </c>
      <c r="G14" s="17"/>
      <c r="H14" s="27"/>
      <c r="I14" s="28">
        <v>0.8</v>
      </c>
      <c r="J14" s="28">
        <v>0.8</v>
      </c>
      <c r="K14" s="29">
        <f t="shared" si="0"/>
        <v>0</v>
      </c>
      <c r="L14" s="12" t="str">
        <f>VLOOKUP(TEXT(B14,"00"),'Blinding key'!$A$2:$G$26,7,FALSE())</f>
        <v>A</v>
      </c>
      <c r="M14" s="30" t="str">
        <f>IFERROR(AVERAGE(INDEX('R1'!$D$3:$M$27,$B14,IF($L14="A",$F14,$F14+5)),INDEX('R2'!$D$3:$M$27,$B14,IF($L14="A",$F14,$F14+5)),INDEX('R3'!$D$3:$M$27,$B14,IF($L14="A",$F14,$F14+5))),"")</f>
        <v/>
      </c>
      <c r="N14" s="30" t="str">
        <f>IFERROR(AVERAGE(INDEX('R1'!$D$3:$M$27,$B14,IF($L14="A",$F14+5,$F14)),INDEX('R2'!$D$3:$M$27,$B14,IF($L14="A",$F14+5,$F14)),INDEX('R3'!$D$3:$M$27,$B14,IF($L14="A",$F14+5,$F14))),"")</f>
        <v/>
      </c>
      <c r="O14" s="29" t="str">
        <f t="shared" si="1"/>
        <v/>
      </c>
      <c r="P14" s="10" t="str">
        <f t="shared" si="2"/>
        <v/>
      </c>
      <c r="Q14" s="10" t="str">
        <f t="shared" si="3"/>
        <v/>
      </c>
      <c r="R14" s="10" t="str">
        <f t="shared" si="4"/>
        <v/>
      </c>
    </row>
    <row r="15" spans="1:18" x14ac:dyDescent="0.3">
      <c r="A15" s="17">
        <v>14</v>
      </c>
      <c r="B15" s="17">
        <v>3</v>
      </c>
      <c r="C15" s="17" t="s">
        <v>21</v>
      </c>
      <c r="D15" s="26" t="s">
        <v>13</v>
      </c>
      <c r="E15" s="26" t="s">
        <v>37</v>
      </c>
      <c r="F15" s="17">
        <v>4</v>
      </c>
      <c r="G15" s="17"/>
      <c r="H15" s="27"/>
      <c r="I15" s="28">
        <v>0.2</v>
      </c>
      <c r="J15" s="28">
        <v>0.2</v>
      </c>
      <c r="K15" s="29">
        <f t="shared" si="0"/>
        <v>0</v>
      </c>
      <c r="L15" s="12" t="str">
        <f>VLOOKUP(TEXT(B15,"00"),'Blinding key'!$A$2:$G$26,7,FALSE())</f>
        <v>A</v>
      </c>
      <c r="M15" s="30" t="str">
        <f>IFERROR(AVERAGE(INDEX('R1'!$D$3:$M$27,$B15,IF($L15="A",$F15,$F15+5)),INDEX('R2'!$D$3:$M$27,$B15,IF($L15="A",$F15,$F15+5)),INDEX('R3'!$D$3:$M$27,$B15,IF($L15="A",$F15,$F15+5))),"")</f>
        <v/>
      </c>
      <c r="N15" s="30" t="str">
        <f>IFERROR(AVERAGE(INDEX('R1'!$D$3:$M$27,$B15,IF($L15="A",$F15+5,$F15)),INDEX('R2'!$D$3:$M$27,$B15,IF($L15="A",$F15+5,$F15)),INDEX('R3'!$D$3:$M$27,$B15,IF($L15="A",$F15+5,$F15))),"")</f>
        <v/>
      </c>
      <c r="O15" s="29" t="str">
        <f t="shared" si="1"/>
        <v/>
      </c>
      <c r="P15" s="10" t="str">
        <f t="shared" si="2"/>
        <v/>
      </c>
      <c r="Q15" s="10" t="str">
        <f t="shared" si="3"/>
        <v/>
      </c>
      <c r="R15" s="10" t="str">
        <f t="shared" si="4"/>
        <v/>
      </c>
    </row>
    <row r="16" spans="1:18" x14ac:dyDescent="0.3">
      <c r="A16" s="17">
        <v>15</v>
      </c>
      <c r="B16" s="17">
        <v>3</v>
      </c>
      <c r="C16" s="17" t="s">
        <v>21</v>
      </c>
      <c r="D16" s="26" t="s">
        <v>13</v>
      </c>
      <c r="E16" s="26" t="s">
        <v>103</v>
      </c>
      <c r="F16" s="17">
        <v>5</v>
      </c>
      <c r="G16" s="17"/>
      <c r="H16" s="27"/>
      <c r="I16" s="28">
        <v>0.3</v>
      </c>
      <c r="J16" s="28">
        <v>0.3</v>
      </c>
      <c r="K16" s="29">
        <f t="shared" si="0"/>
        <v>0</v>
      </c>
      <c r="L16" s="12" t="str">
        <f>VLOOKUP(TEXT(B16,"00"),'Blinding key'!$A$2:$G$26,7,FALSE())</f>
        <v>A</v>
      </c>
      <c r="M16" s="30" t="str">
        <f>IFERROR(AVERAGE(INDEX('R1'!$D$3:$M$27,$B16,IF($L16="A",$F16,$F16+5)),INDEX('R2'!$D$3:$M$27,$B16,IF($L16="A",$F16,$F16+5)),INDEX('R3'!$D$3:$M$27,$B16,IF($L16="A",$F16,$F16+5))),"")</f>
        <v/>
      </c>
      <c r="N16" s="30" t="str">
        <f>IFERROR(AVERAGE(INDEX('R1'!$D$3:$M$27,$B16,IF($L16="A",$F16+5,$F16)),INDEX('R2'!$D$3:$M$27,$B16,IF($L16="A",$F16+5,$F16)),INDEX('R3'!$D$3:$M$27,$B16,IF($L16="A",$F16+5,$F16))),"")</f>
        <v/>
      </c>
      <c r="O16" s="29" t="str">
        <f t="shared" si="1"/>
        <v/>
      </c>
      <c r="P16" s="10" t="str">
        <f t="shared" si="2"/>
        <v/>
      </c>
      <c r="Q16" s="10" t="str">
        <f t="shared" si="3"/>
        <v/>
      </c>
      <c r="R16" s="10" t="str">
        <f t="shared" si="4"/>
        <v/>
      </c>
    </row>
    <row r="17" spans="1:18" ht="26.4" x14ac:dyDescent="0.3">
      <c r="A17" s="23">
        <v>16</v>
      </c>
      <c r="B17" s="23">
        <v>4</v>
      </c>
      <c r="C17" s="23" t="s">
        <v>23</v>
      </c>
      <c r="D17" s="32" t="s">
        <v>24</v>
      </c>
      <c r="E17" s="32" t="s">
        <v>74</v>
      </c>
      <c r="F17" s="23">
        <v>1</v>
      </c>
      <c r="G17" s="23"/>
      <c r="H17" s="33"/>
      <c r="I17" s="28">
        <v>0.5</v>
      </c>
      <c r="J17" s="28">
        <v>0.7</v>
      </c>
      <c r="K17" s="29">
        <f t="shared" si="0"/>
        <v>0.19999999999999996</v>
      </c>
      <c r="L17" s="12" t="str">
        <f>VLOOKUP(TEXT(B17,"00"),'Blinding key'!$A$2:$G$26,7,FALSE())</f>
        <v>B</v>
      </c>
      <c r="M17" s="30" t="str">
        <f>IFERROR(AVERAGE(INDEX('R1'!$D$3:$M$27,$B17,IF($L17="A",$F17,$F17+5)),INDEX('R2'!$D$3:$M$27,$B17,IF($L17="A",$F17,$F17+5)),INDEX('R3'!$D$3:$M$27,$B17,IF($L17="A",$F17,$F17+5))),"")</f>
        <v/>
      </c>
      <c r="N17" s="30" t="str">
        <f>IFERROR(AVERAGE(INDEX('R1'!$D$3:$M$27,$B17,IF($L17="A",$F17+5,$F17)),INDEX('R2'!$D$3:$M$27,$B17,IF($L17="A",$F17+5,$F17)),INDEX('R3'!$D$3:$M$27,$B17,IF($L17="A",$F17+5,$F17))),"")</f>
        <v/>
      </c>
      <c r="O17" s="29" t="str">
        <f t="shared" si="1"/>
        <v/>
      </c>
      <c r="P17" s="10" t="str">
        <f t="shared" si="2"/>
        <v/>
      </c>
      <c r="Q17" s="10" t="str">
        <f t="shared" si="3"/>
        <v/>
      </c>
      <c r="R17" s="10" t="str">
        <f t="shared" si="4"/>
        <v/>
      </c>
    </row>
    <row r="18" spans="1:18" ht="26.4" x14ac:dyDescent="0.3">
      <c r="A18" s="23">
        <v>17</v>
      </c>
      <c r="B18" s="23">
        <v>4</v>
      </c>
      <c r="C18" s="23" t="s">
        <v>23</v>
      </c>
      <c r="D18" s="32" t="s">
        <v>24</v>
      </c>
      <c r="E18" s="32" t="s">
        <v>15</v>
      </c>
      <c r="F18" s="23">
        <v>2</v>
      </c>
      <c r="G18" s="23"/>
      <c r="H18" s="33"/>
      <c r="I18" s="28">
        <v>0.2</v>
      </c>
      <c r="J18" s="28">
        <v>0.3</v>
      </c>
      <c r="K18" s="29">
        <f t="shared" si="0"/>
        <v>9.9999999999999978E-2</v>
      </c>
      <c r="L18" s="12" t="str">
        <f>VLOOKUP(TEXT(B18,"00"),'Blinding key'!$A$2:$G$26,7,FALSE())</f>
        <v>B</v>
      </c>
      <c r="M18" s="30" t="str">
        <f>IFERROR(AVERAGE(INDEX('R1'!$D$3:$M$27,$B18,IF($L18="A",$F18,$F18+5)),INDEX('R2'!$D$3:$M$27,$B18,IF($L18="A",$F18,$F18+5)),INDEX('R3'!$D$3:$M$27,$B18,IF($L18="A",$F18,$F18+5))),"")</f>
        <v/>
      </c>
      <c r="N18" s="30" t="str">
        <f>IFERROR(AVERAGE(INDEX('R1'!$D$3:$M$27,$B18,IF($L18="A",$F18+5,$F18)),INDEX('R2'!$D$3:$M$27,$B18,IF($L18="A",$F18+5,$F18)),INDEX('R3'!$D$3:$M$27,$B18,IF($L18="A",$F18+5,$F18))),"")</f>
        <v/>
      </c>
      <c r="O18" s="29" t="str">
        <f t="shared" si="1"/>
        <v/>
      </c>
      <c r="P18" s="10" t="str">
        <f t="shared" si="2"/>
        <v/>
      </c>
      <c r="Q18" s="10" t="str">
        <f t="shared" si="3"/>
        <v/>
      </c>
      <c r="R18" s="10" t="str">
        <f t="shared" si="4"/>
        <v/>
      </c>
    </row>
    <row r="19" spans="1:18" ht="26.4" x14ac:dyDescent="0.3">
      <c r="A19" s="23">
        <v>18</v>
      </c>
      <c r="B19" s="23">
        <v>4</v>
      </c>
      <c r="C19" s="23" t="s">
        <v>23</v>
      </c>
      <c r="D19" s="32" t="s">
        <v>24</v>
      </c>
      <c r="E19" s="34" t="s">
        <v>26</v>
      </c>
      <c r="F19" s="23">
        <v>3</v>
      </c>
      <c r="G19" s="23" t="s">
        <v>102</v>
      </c>
      <c r="H19" s="33">
        <v>0.9</v>
      </c>
      <c r="I19" s="28">
        <v>0.1</v>
      </c>
      <c r="J19" s="28">
        <v>0.6</v>
      </c>
      <c r="K19" s="29">
        <f t="shared" si="0"/>
        <v>0.5</v>
      </c>
      <c r="L19" s="12" t="str">
        <f>VLOOKUP(TEXT(B19,"00"),'Blinding key'!$A$2:$G$26,7,FALSE())</f>
        <v>B</v>
      </c>
      <c r="M19" s="30" t="str">
        <f>IFERROR(AVERAGE(INDEX('R1'!$D$3:$M$27,$B19,IF($L19="A",$F19,$F19+5)),INDEX('R2'!$D$3:$M$27,$B19,IF($L19="A",$F19,$F19+5)),INDEX('R3'!$D$3:$M$27,$B19,IF($L19="A",$F19,$F19+5))),"")</f>
        <v/>
      </c>
      <c r="N19" s="30" t="str">
        <f>IFERROR(AVERAGE(INDEX('R1'!$D$3:$M$27,$B19,IF($L19="A",$F19+5,$F19)),INDEX('R2'!$D$3:$M$27,$B19,IF($L19="A",$F19+5,$F19)),INDEX('R3'!$D$3:$M$27,$B19,IF($L19="A",$F19+5,$F19))),"")</f>
        <v/>
      </c>
      <c r="O19" s="29" t="str">
        <f t="shared" si="1"/>
        <v/>
      </c>
      <c r="P19" s="10" t="str">
        <f t="shared" si="2"/>
        <v/>
      </c>
      <c r="Q19" s="10" t="str">
        <f t="shared" si="3"/>
        <v/>
      </c>
      <c r="R19" s="10">
        <f t="shared" si="4"/>
        <v>1</v>
      </c>
    </row>
    <row r="20" spans="1:18" ht="26.4" x14ac:dyDescent="0.3">
      <c r="A20" s="23">
        <v>19</v>
      </c>
      <c r="B20" s="23">
        <v>4</v>
      </c>
      <c r="C20" s="23" t="s">
        <v>23</v>
      </c>
      <c r="D20" s="32" t="s">
        <v>24</v>
      </c>
      <c r="E20" s="32" t="s">
        <v>37</v>
      </c>
      <c r="F20" s="23">
        <v>4</v>
      </c>
      <c r="G20" s="23"/>
      <c r="H20" s="33"/>
      <c r="I20" s="28">
        <v>0.3</v>
      </c>
      <c r="J20" s="28">
        <v>0.4</v>
      </c>
      <c r="K20" s="29">
        <f t="shared" si="0"/>
        <v>0.10000000000000003</v>
      </c>
      <c r="L20" s="12" t="str">
        <f>VLOOKUP(TEXT(B20,"00"),'Blinding key'!$A$2:$G$26,7,FALSE())</f>
        <v>B</v>
      </c>
      <c r="M20" s="30" t="str">
        <f>IFERROR(AVERAGE(INDEX('R1'!$D$3:$M$27,$B20,IF($L20="A",$F20,$F20+5)),INDEX('R2'!$D$3:$M$27,$B20,IF($L20="A",$F20,$F20+5)),INDEX('R3'!$D$3:$M$27,$B20,IF($L20="A",$F20,$F20+5))),"")</f>
        <v/>
      </c>
      <c r="N20" s="30" t="str">
        <f>IFERROR(AVERAGE(INDEX('R1'!$D$3:$M$27,$B20,IF($L20="A",$F20+5,$F20)),INDEX('R2'!$D$3:$M$27,$B20,IF($L20="A",$F20+5,$F20)),INDEX('R3'!$D$3:$M$27,$B20,IF($L20="A",$F20+5,$F20))),"")</f>
        <v/>
      </c>
      <c r="O20" s="29" t="str">
        <f t="shared" si="1"/>
        <v/>
      </c>
      <c r="P20" s="10" t="str">
        <f t="shared" si="2"/>
        <v/>
      </c>
      <c r="Q20" s="10" t="str">
        <f t="shared" si="3"/>
        <v/>
      </c>
      <c r="R20" s="10" t="str">
        <f t="shared" si="4"/>
        <v/>
      </c>
    </row>
    <row r="21" spans="1:18" ht="26.4" x14ac:dyDescent="0.3">
      <c r="A21" s="23">
        <v>20</v>
      </c>
      <c r="B21" s="23">
        <v>4</v>
      </c>
      <c r="C21" s="23" t="s">
        <v>23</v>
      </c>
      <c r="D21" s="32" t="s">
        <v>24</v>
      </c>
      <c r="E21" s="32" t="s">
        <v>103</v>
      </c>
      <c r="F21" s="23">
        <v>5</v>
      </c>
      <c r="G21" s="23"/>
      <c r="H21" s="33"/>
      <c r="I21" s="28">
        <v>0.1</v>
      </c>
      <c r="J21" s="28">
        <v>0.5</v>
      </c>
      <c r="K21" s="29">
        <f t="shared" si="0"/>
        <v>0.4</v>
      </c>
      <c r="L21" s="12" t="str">
        <f>VLOOKUP(TEXT(B21,"00"),'Blinding key'!$A$2:$G$26,7,FALSE())</f>
        <v>B</v>
      </c>
      <c r="M21" s="30" t="str">
        <f>IFERROR(AVERAGE(INDEX('R1'!$D$3:$M$27,$B21,IF($L21="A",$F21,$F21+5)),INDEX('R2'!$D$3:$M$27,$B21,IF($L21="A",$F21,$F21+5)),INDEX('R3'!$D$3:$M$27,$B21,IF($L21="A",$F21,$F21+5))),"")</f>
        <v/>
      </c>
      <c r="N21" s="30" t="str">
        <f>IFERROR(AVERAGE(INDEX('R1'!$D$3:$M$27,$B21,IF($L21="A",$F21+5,$F21)),INDEX('R2'!$D$3:$M$27,$B21,IF($L21="A",$F21+5,$F21)),INDEX('R3'!$D$3:$M$27,$B21,IF($L21="A",$F21+5,$F21))),"")</f>
        <v/>
      </c>
      <c r="O21" s="29" t="str">
        <f t="shared" si="1"/>
        <v/>
      </c>
      <c r="P21" s="10" t="str">
        <f t="shared" si="2"/>
        <v/>
      </c>
      <c r="Q21" s="10" t="str">
        <f t="shared" si="3"/>
        <v/>
      </c>
      <c r="R21" s="10" t="str">
        <f t="shared" si="4"/>
        <v/>
      </c>
    </row>
    <row r="22" spans="1:18" ht="26.4" x14ac:dyDescent="0.3">
      <c r="A22" s="17">
        <v>21</v>
      </c>
      <c r="B22" s="17">
        <v>5</v>
      </c>
      <c r="C22" s="17" t="s">
        <v>28</v>
      </c>
      <c r="D22" s="26" t="s">
        <v>24</v>
      </c>
      <c r="E22" s="26" t="s">
        <v>74</v>
      </c>
      <c r="F22" s="17">
        <v>1</v>
      </c>
      <c r="G22" s="17"/>
      <c r="H22" s="27"/>
      <c r="I22" s="28">
        <v>0.3</v>
      </c>
      <c r="J22" s="28">
        <v>0.7</v>
      </c>
      <c r="K22" s="29">
        <f t="shared" si="0"/>
        <v>0.39999999999999997</v>
      </c>
      <c r="L22" s="12" t="str">
        <f>VLOOKUP(TEXT(B22,"00"),'Blinding key'!$A$2:$G$26,7,FALSE())</f>
        <v>B</v>
      </c>
      <c r="M22" s="30" t="str">
        <f>IFERROR(AVERAGE(INDEX('R1'!$D$3:$M$27,$B22,IF($L22="A",$F22,$F22+5)),INDEX('R2'!$D$3:$M$27,$B22,IF($L22="A",$F22,$F22+5)),INDEX('R3'!$D$3:$M$27,$B22,IF($L22="A",$F22,$F22+5))),"")</f>
        <v/>
      </c>
      <c r="N22" s="30" t="str">
        <f>IFERROR(AVERAGE(INDEX('R1'!$D$3:$M$27,$B22,IF($L22="A",$F22+5,$F22)),INDEX('R2'!$D$3:$M$27,$B22,IF($L22="A",$F22+5,$F22)),INDEX('R3'!$D$3:$M$27,$B22,IF($L22="A",$F22+5,$F22))),"")</f>
        <v/>
      </c>
      <c r="O22" s="29" t="str">
        <f t="shared" si="1"/>
        <v/>
      </c>
      <c r="P22" s="10" t="str">
        <f t="shared" si="2"/>
        <v/>
      </c>
      <c r="Q22" s="10" t="str">
        <f t="shared" si="3"/>
        <v/>
      </c>
      <c r="R22" s="10" t="str">
        <f t="shared" si="4"/>
        <v/>
      </c>
    </row>
    <row r="23" spans="1:18" ht="26.4" x14ac:dyDescent="0.3">
      <c r="A23" s="17">
        <v>22</v>
      </c>
      <c r="B23" s="17">
        <v>5</v>
      </c>
      <c r="C23" s="17" t="s">
        <v>28</v>
      </c>
      <c r="D23" s="26" t="s">
        <v>24</v>
      </c>
      <c r="E23" s="26" t="s">
        <v>15</v>
      </c>
      <c r="F23" s="17">
        <v>2</v>
      </c>
      <c r="G23" s="17"/>
      <c r="H23" s="27"/>
      <c r="I23" s="28">
        <v>0</v>
      </c>
      <c r="J23" s="28">
        <v>0.1</v>
      </c>
      <c r="K23" s="29">
        <f t="shared" si="0"/>
        <v>0.1</v>
      </c>
      <c r="L23" s="12" t="str">
        <f>VLOOKUP(TEXT(B23,"00"),'Blinding key'!$A$2:$G$26,7,FALSE())</f>
        <v>B</v>
      </c>
      <c r="M23" s="30" t="str">
        <f>IFERROR(AVERAGE(INDEX('R1'!$D$3:$M$27,$B23,IF($L23="A",$F23,$F23+5)),INDEX('R2'!$D$3:$M$27,$B23,IF($L23="A",$F23,$F23+5)),INDEX('R3'!$D$3:$M$27,$B23,IF($L23="A",$F23,$F23+5))),"")</f>
        <v/>
      </c>
      <c r="N23" s="30" t="str">
        <f>IFERROR(AVERAGE(INDEX('R1'!$D$3:$M$27,$B23,IF($L23="A",$F23+5,$F23)),INDEX('R2'!$D$3:$M$27,$B23,IF($L23="A",$F23+5,$F23)),INDEX('R3'!$D$3:$M$27,$B23,IF($L23="A",$F23+5,$F23))),"")</f>
        <v/>
      </c>
      <c r="O23" s="29" t="str">
        <f t="shared" si="1"/>
        <v/>
      </c>
      <c r="P23" s="10" t="str">
        <f t="shared" si="2"/>
        <v/>
      </c>
      <c r="Q23" s="10" t="str">
        <f t="shared" si="3"/>
        <v/>
      </c>
      <c r="R23" s="10" t="str">
        <f t="shared" si="4"/>
        <v/>
      </c>
    </row>
    <row r="24" spans="1:18" ht="26.4" x14ac:dyDescent="0.3">
      <c r="A24" s="17">
        <v>23</v>
      </c>
      <c r="B24" s="17">
        <v>5</v>
      </c>
      <c r="C24" s="17" t="s">
        <v>28</v>
      </c>
      <c r="D24" s="26" t="s">
        <v>24</v>
      </c>
      <c r="E24" s="31" t="s">
        <v>26</v>
      </c>
      <c r="F24" s="17">
        <v>3</v>
      </c>
      <c r="G24" s="17" t="s">
        <v>102</v>
      </c>
      <c r="H24" s="27">
        <v>0.9</v>
      </c>
      <c r="I24" s="28">
        <v>0.1</v>
      </c>
      <c r="J24" s="28">
        <v>0.8</v>
      </c>
      <c r="K24" s="29">
        <f t="shared" si="0"/>
        <v>0.70000000000000007</v>
      </c>
      <c r="L24" s="12" t="str">
        <f>VLOOKUP(TEXT(B24,"00"),'Blinding key'!$A$2:$G$26,7,FALSE())</f>
        <v>B</v>
      </c>
      <c r="M24" s="30" t="str">
        <f>IFERROR(AVERAGE(INDEX('R1'!$D$3:$M$27,$B24,IF($L24="A",$F24,$F24+5)),INDEX('R2'!$D$3:$M$27,$B24,IF($L24="A",$F24,$F24+5)),INDEX('R3'!$D$3:$M$27,$B24,IF($L24="A",$F24,$F24+5))),"")</f>
        <v/>
      </c>
      <c r="N24" s="30" t="str">
        <f>IFERROR(AVERAGE(INDEX('R1'!$D$3:$M$27,$B24,IF($L24="A",$F24+5,$F24)),INDEX('R2'!$D$3:$M$27,$B24,IF($L24="A",$F24+5,$F24)),INDEX('R3'!$D$3:$M$27,$B24,IF($L24="A",$F24+5,$F24))),"")</f>
        <v/>
      </c>
      <c r="O24" s="29" t="str">
        <f t="shared" si="1"/>
        <v/>
      </c>
      <c r="P24" s="10" t="str">
        <f t="shared" si="2"/>
        <v/>
      </c>
      <c r="Q24" s="10" t="str">
        <f t="shared" si="3"/>
        <v/>
      </c>
      <c r="R24" s="10">
        <f t="shared" si="4"/>
        <v>1</v>
      </c>
    </row>
    <row r="25" spans="1:18" ht="26.4" x14ac:dyDescent="0.3">
      <c r="A25" s="17">
        <v>24</v>
      </c>
      <c r="B25" s="17">
        <v>5</v>
      </c>
      <c r="C25" s="17" t="s">
        <v>28</v>
      </c>
      <c r="D25" s="26" t="s">
        <v>24</v>
      </c>
      <c r="E25" s="26" t="s">
        <v>37</v>
      </c>
      <c r="F25" s="17">
        <v>4</v>
      </c>
      <c r="G25" s="17"/>
      <c r="H25" s="27"/>
      <c r="I25" s="28">
        <v>0</v>
      </c>
      <c r="J25" s="28">
        <v>0.3</v>
      </c>
      <c r="K25" s="29">
        <f t="shared" si="0"/>
        <v>0.3</v>
      </c>
      <c r="L25" s="12" t="str">
        <f>VLOOKUP(TEXT(B25,"00"),'Blinding key'!$A$2:$G$26,7,FALSE())</f>
        <v>B</v>
      </c>
      <c r="M25" s="30" t="str">
        <f>IFERROR(AVERAGE(INDEX('R1'!$D$3:$M$27,$B25,IF($L25="A",$F25,$F25+5)),INDEX('R2'!$D$3:$M$27,$B25,IF($L25="A",$F25,$F25+5)),INDEX('R3'!$D$3:$M$27,$B25,IF($L25="A",$F25,$F25+5))),"")</f>
        <v/>
      </c>
      <c r="N25" s="30" t="str">
        <f>IFERROR(AVERAGE(INDEX('R1'!$D$3:$M$27,$B25,IF($L25="A",$F25+5,$F25)),INDEX('R2'!$D$3:$M$27,$B25,IF($L25="A",$F25+5,$F25)),INDEX('R3'!$D$3:$M$27,$B25,IF($L25="A",$F25+5,$F25))),"")</f>
        <v/>
      </c>
      <c r="O25" s="29" t="str">
        <f t="shared" si="1"/>
        <v/>
      </c>
      <c r="P25" s="10" t="str">
        <f t="shared" si="2"/>
        <v/>
      </c>
      <c r="Q25" s="10" t="str">
        <f t="shared" si="3"/>
        <v/>
      </c>
      <c r="R25" s="10" t="str">
        <f t="shared" si="4"/>
        <v/>
      </c>
    </row>
    <row r="26" spans="1:18" ht="26.4" x14ac:dyDescent="0.3">
      <c r="A26" s="17">
        <v>25</v>
      </c>
      <c r="B26" s="17">
        <v>5</v>
      </c>
      <c r="C26" s="17" t="s">
        <v>28</v>
      </c>
      <c r="D26" s="26" t="s">
        <v>24</v>
      </c>
      <c r="E26" s="26" t="s">
        <v>103</v>
      </c>
      <c r="F26" s="17">
        <v>5</v>
      </c>
      <c r="G26" s="17"/>
      <c r="H26" s="27"/>
      <c r="I26" s="28">
        <v>0</v>
      </c>
      <c r="J26" s="28">
        <v>0.4</v>
      </c>
      <c r="K26" s="29">
        <f t="shared" si="0"/>
        <v>0.4</v>
      </c>
      <c r="L26" s="12" t="str">
        <f>VLOOKUP(TEXT(B26,"00"),'Blinding key'!$A$2:$G$26,7,FALSE())</f>
        <v>B</v>
      </c>
      <c r="M26" s="30" t="str">
        <f>IFERROR(AVERAGE(INDEX('R1'!$D$3:$M$27,$B26,IF($L26="A",$F26,$F26+5)),INDEX('R2'!$D$3:$M$27,$B26,IF($L26="A",$F26,$F26+5)),INDEX('R3'!$D$3:$M$27,$B26,IF($L26="A",$F26,$F26+5))),"")</f>
        <v/>
      </c>
      <c r="N26" s="30" t="str">
        <f>IFERROR(AVERAGE(INDEX('R1'!$D$3:$M$27,$B26,IF($L26="A",$F26+5,$F26)),INDEX('R2'!$D$3:$M$27,$B26,IF($L26="A",$F26+5,$F26)),INDEX('R3'!$D$3:$M$27,$B26,IF($L26="A",$F26+5,$F26))),"")</f>
        <v/>
      </c>
      <c r="O26" s="29" t="str">
        <f t="shared" si="1"/>
        <v/>
      </c>
      <c r="P26" s="10" t="str">
        <f t="shared" si="2"/>
        <v/>
      </c>
      <c r="Q26" s="10" t="str">
        <f t="shared" si="3"/>
        <v/>
      </c>
      <c r="R26" s="10" t="str">
        <f t="shared" si="4"/>
        <v/>
      </c>
    </row>
    <row r="27" spans="1:18" x14ac:dyDescent="0.3">
      <c r="A27" s="23">
        <v>26</v>
      </c>
      <c r="B27" s="23">
        <v>6</v>
      </c>
      <c r="C27" s="23" t="s">
        <v>30</v>
      </c>
      <c r="D27" s="32" t="s">
        <v>13</v>
      </c>
      <c r="E27" s="32" t="s">
        <v>74</v>
      </c>
      <c r="F27" s="23">
        <v>1</v>
      </c>
      <c r="G27" s="23"/>
      <c r="H27" s="33"/>
      <c r="I27" s="28">
        <v>0.6</v>
      </c>
      <c r="J27" s="28">
        <v>0.7</v>
      </c>
      <c r="K27" s="29">
        <f t="shared" si="0"/>
        <v>9.9999999999999978E-2</v>
      </c>
      <c r="L27" s="12" t="str">
        <f>VLOOKUP(TEXT(B27,"00"),'Blinding key'!$A$2:$G$26,7,FALSE())</f>
        <v>A</v>
      </c>
      <c r="M27" s="30" t="str">
        <f>IFERROR(AVERAGE(INDEX('R1'!$D$3:$M$27,$B27,IF($L27="A",$F27,$F27+5)),INDEX('R2'!$D$3:$M$27,$B27,IF($L27="A",$F27,$F27+5)),INDEX('R3'!$D$3:$M$27,$B27,IF($L27="A",$F27,$F27+5))),"")</f>
        <v/>
      </c>
      <c r="N27" s="30" t="str">
        <f>IFERROR(AVERAGE(INDEX('R1'!$D$3:$M$27,$B27,IF($L27="A",$F27+5,$F27)),INDEX('R2'!$D$3:$M$27,$B27,IF($L27="A",$F27+5,$F27)),INDEX('R3'!$D$3:$M$27,$B27,IF($L27="A",$F27+5,$F27))),"")</f>
        <v/>
      </c>
      <c r="O27" s="29" t="str">
        <f t="shared" si="1"/>
        <v/>
      </c>
      <c r="P27" s="10" t="str">
        <f t="shared" si="2"/>
        <v/>
      </c>
      <c r="Q27" s="10" t="str">
        <f t="shared" si="3"/>
        <v/>
      </c>
      <c r="R27" s="10" t="str">
        <f t="shared" si="4"/>
        <v/>
      </c>
    </row>
    <row r="28" spans="1:18" x14ac:dyDescent="0.3">
      <c r="A28" s="23">
        <v>27</v>
      </c>
      <c r="B28" s="23">
        <v>6</v>
      </c>
      <c r="C28" s="23" t="s">
        <v>30</v>
      </c>
      <c r="D28" s="32" t="s">
        <v>13</v>
      </c>
      <c r="E28" s="34" t="s">
        <v>15</v>
      </c>
      <c r="F28" s="23">
        <v>2</v>
      </c>
      <c r="G28" s="23" t="s">
        <v>102</v>
      </c>
      <c r="H28" s="33">
        <v>0.5</v>
      </c>
      <c r="I28" s="28">
        <v>0.4</v>
      </c>
      <c r="J28" s="28">
        <v>0.5</v>
      </c>
      <c r="K28" s="29">
        <f t="shared" si="0"/>
        <v>9.9999999999999978E-2</v>
      </c>
      <c r="L28" s="12" t="str">
        <f>VLOOKUP(TEXT(B28,"00"),'Blinding key'!$A$2:$G$26,7,FALSE())</f>
        <v>A</v>
      </c>
      <c r="M28" s="30" t="str">
        <f>IFERROR(AVERAGE(INDEX('R1'!$D$3:$M$27,$B28,IF($L28="A",$F28,$F28+5)),INDEX('R2'!$D$3:$M$27,$B28,IF($L28="A",$F28,$F28+5)),INDEX('R3'!$D$3:$M$27,$B28,IF($L28="A",$F28,$F28+5))),"")</f>
        <v/>
      </c>
      <c r="N28" s="30" t="str">
        <f>IFERROR(AVERAGE(INDEX('R1'!$D$3:$M$27,$B28,IF($L28="A",$F28+5,$F28)),INDEX('R2'!$D$3:$M$27,$B28,IF($L28="A",$F28+5,$F28)),INDEX('R3'!$D$3:$M$27,$B28,IF($L28="A",$F28+5,$F28))),"")</f>
        <v/>
      </c>
      <c r="O28" s="29" t="str">
        <f t="shared" si="1"/>
        <v/>
      </c>
      <c r="P28" s="10" t="str">
        <f t="shared" si="2"/>
        <v/>
      </c>
      <c r="Q28" s="10" t="str">
        <f t="shared" si="3"/>
        <v/>
      </c>
      <c r="R28" s="10">
        <f t="shared" si="4"/>
        <v>1</v>
      </c>
    </row>
    <row r="29" spans="1:18" x14ac:dyDescent="0.3">
      <c r="A29" s="23">
        <v>28</v>
      </c>
      <c r="B29" s="23">
        <v>6</v>
      </c>
      <c r="C29" s="23" t="s">
        <v>30</v>
      </c>
      <c r="D29" s="32" t="s">
        <v>13</v>
      </c>
      <c r="E29" s="32" t="s">
        <v>26</v>
      </c>
      <c r="F29" s="23">
        <v>3</v>
      </c>
      <c r="G29" s="23"/>
      <c r="H29" s="33"/>
      <c r="I29" s="28">
        <v>0.8</v>
      </c>
      <c r="J29" s="28">
        <v>0.8</v>
      </c>
      <c r="K29" s="29">
        <f t="shared" si="0"/>
        <v>0</v>
      </c>
      <c r="L29" s="12" t="str">
        <f>VLOOKUP(TEXT(B29,"00"),'Blinding key'!$A$2:$G$26,7,FALSE())</f>
        <v>A</v>
      </c>
      <c r="M29" s="30" t="str">
        <f>IFERROR(AVERAGE(INDEX('R1'!$D$3:$M$27,$B29,IF($L29="A",$F29,$F29+5)),INDEX('R2'!$D$3:$M$27,$B29,IF($L29="A",$F29,$F29+5)),INDEX('R3'!$D$3:$M$27,$B29,IF($L29="A",$F29,$F29+5))),"")</f>
        <v/>
      </c>
      <c r="N29" s="30" t="str">
        <f>IFERROR(AVERAGE(INDEX('R1'!$D$3:$M$27,$B29,IF($L29="A",$F29+5,$F29)),INDEX('R2'!$D$3:$M$27,$B29,IF($L29="A",$F29+5,$F29)),INDEX('R3'!$D$3:$M$27,$B29,IF($L29="A",$F29+5,$F29))),"")</f>
        <v/>
      </c>
      <c r="O29" s="29" t="str">
        <f t="shared" si="1"/>
        <v/>
      </c>
      <c r="P29" s="10" t="str">
        <f t="shared" si="2"/>
        <v/>
      </c>
      <c r="Q29" s="10" t="str">
        <f t="shared" si="3"/>
        <v/>
      </c>
      <c r="R29" s="10" t="str">
        <f t="shared" si="4"/>
        <v/>
      </c>
    </row>
    <row r="30" spans="1:18" x14ac:dyDescent="0.3">
      <c r="A30" s="23">
        <v>29</v>
      </c>
      <c r="B30" s="23">
        <v>6</v>
      </c>
      <c r="C30" s="23" t="s">
        <v>30</v>
      </c>
      <c r="D30" s="32" t="s">
        <v>13</v>
      </c>
      <c r="E30" s="32" t="s">
        <v>37</v>
      </c>
      <c r="F30" s="23">
        <v>4</v>
      </c>
      <c r="G30" s="23"/>
      <c r="H30" s="33"/>
      <c r="I30" s="28">
        <v>0.2</v>
      </c>
      <c r="J30" s="28">
        <v>0.3</v>
      </c>
      <c r="K30" s="29">
        <f t="shared" si="0"/>
        <v>9.9999999999999978E-2</v>
      </c>
      <c r="L30" s="12" t="str">
        <f>VLOOKUP(TEXT(B30,"00"),'Blinding key'!$A$2:$G$26,7,FALSE())</f>
        <v>A</v>
      </c>
      <c r="M30" s="30" t="str">
        <f>IFERROR(AVERAGE(INDEX('R1'!$D$3:$M$27,$B30,IF($L30="A",$F30,$F30+5)),INDEX('R2'!$D$3:$M$27,$B30,IF($L30="A",$F30,$F30+5)),INDEX('R3'!$D$3:$M$27,$B30,IF($L30="A",$F30,$F30+5))),"")</f>
        <v/>
      </c>
      <c r="N30" s="30" t="str">
        <f>IFERROR(AVERAGE(INDEX('R1'!$D$3:$M$27,$B30,IF($L30="A",$F30+5,$F30)),INDEX('R2'!$D$3:$M$27,$B30,IF($L30="A",$F30+5,$F30)),INDEX('R3'!$D$3:$M$27,$B30,IF($L30="A",$F30+5,$F30))),"")</f>
        <v/>
      </c>
      <c r="O30" s="29" t="str">
        <f t="shared" si="1"/>
        <v/>
      </c>
      <c r="P30" s="10" t="str">
        <f t="shared" si="2"/>
        <v/>
      </c>
      <c r="Q30" s="10" t="str">
        <f t="shared" si="3"/>
        <v/>
      </c>
      <c r="R30" s="10" t="str">
        <f t="shared" si="4"/>
        <v/>
      </c>
    </row>
    <row r="31" spans="1:18" x14ac:dyDescent="0.3">
      <c r="A31" s="23">
        <v>30</v>
      </c>
      <c r="B31" s="23">
        <v>6</v>
      </c>
      <c r="C31" s="23" t="s">
        <v>30</v>
      </c>
      <c r="D31" s="32" t="s">
        <v>13</v>
      </c>
      <c r="E31" s="32" t="s">
        <v>103</v>
      </c>
      <c r="F31" s="23">
        <v>5</v>
      </c>
      <c r="G31" s="23"/>
      <c r="H31" s="33"/>
      <c r="I31" s="28">
        <v>0.5</v>
      </c>
      <c r="J31" s="28">
        <v>0.6</v>
      </c>
      <c r="K31" s="29">
        <f t="shared" si="0"/>
        <v>9.9999999999999978E-2</v>
      </c>
      <c r="L31" s="12" t="str">
        <f>VLOOKUP(TEXT(B31,"00"),'Blinding key'!$A$2:$G$26,7,FALSE())</f>
        <v>A</v>
      </c>
      <c r="M31" s="30" t="str">
        <f>IFERROR(AVERAGE(INDEX('R1'!$D$3:$M$27,$B31,IF($L31="A",$F31,$F31+5)),INDEX('R2'!$D$3:$M$27,$B31,IF($L31="A",$F31,$F31+5)),INDEX('R3'!$D$3:$M$27,$B31,IF($L31="A",$F31,$F31+5))),"")</f>
        <v/>
      </c>
      <c r="N31" s="30" t="str">
        <f>IFERROR(AVERAGE(INDEX('R1'!$D$3:$M$27,$B31,IF($L31="A",$F31+5,$F31)),INDEX('R2'!$D$3:$M$27,$B31,IF($L31="A",$F31+5,$F31)),INDEX('R3'!$D$3:$M$27,$B31,IF($L31="A",$F31+5,$F31))),"")</f>
        <v/>
      </c>
      <c r="O31" s="29" t="str">
        <f t="shared" si="1"/>
        <v/>
      </c>
      <c r="P31" s="10" t="str">
        <f t="shared" si="2"/>
        <v/>
      </c>
      <c r="Q31" s="10" t="str">
        <f t="shared" si="3"/>
        <v/>
      </c>
      <c r="R31" s="10" t="str">
        <f t="shared" si="4"/>
        <v/>
      </c>
    </row>
    <row r="32" spans="1:18" x14ac:dyDescent="0.3">
      <c r="A32" s="17">
        <v>31</v>
      </c>
      <c r="B32" s="17">
        <v>7</v>
      </c>
      <c r="C32" s="17" t="s">
        <v>32</v>
      </c>
      <c r="D32" s="26" t="s">
        <v>13</v>
      </c>
      <c r="E32" s="26" t="s">
        <v>74</v>
      </c>
      <c r="F32" s="17">
        <v>1</v>
      </c>
      <c r="G32" s="17"/>
      <c r="H32" s="27"/>
      <c r="I32" s="28">
        <v>0.3</v>
      </c>
      <c r="J32" s="28">
        <v>0.7</v>
      </c>
      <c r="K32" s="29">
        <f t="shared" si="0"/>
        <v>0.39999999999999997</v>
      </c>
      <c r="L32" s="12" t="str">
        <f>VLOOKUP(TEXT(B32,"00"),'Blinding key'!$A$2:$G$26,7,FALSE())</f>
        <v>A</v>
      </c>
      <c r="M32" s="30" t="str">
        <f>IFERROR(AVERAGE(INDEX('R1'!$D$3:$M$27,$B32,IF($L32="A",$F32,$F32+5)),INDEX('R2'!$D$3:$M$27,$B32,IF($L32="A",$F32,$F32+5)),INDEX('R3'!$D$3:$M$27,$B32,IF($L32="A",$F32,$F32+5))),"")</f>
        <v/>
      </c>
      <c r="N32" s="30" t="str">
        <f>IFERROR(AVERAGE(INDEX('R1'!$D$3:$M$27,$B32,IF($L32="A",$F32+5,$F32)),INDEX('R2'!$D$3:$M$27,$B32,IF($L32="A",$F32+5,$F32)),INDEX('R3'!$D$3:$M$27,$B32,IF($L32="A",$F32+5,$F32))),"")</f>
        <v/>
      </c>
      <c r="O32" s="29" t="str">
        <f t="shared" si="1"/>
        <v/>
      </c>
      <c r="P32" s="10" t="str">
        <f t="shared" si="2"/>
        <v/>
      </c>
      <c r="Q32" s="10" t="str">
        <f t="shared" si="3"/>
        <v/>
      </c>
      <c r="R32" s="10" t="str">
        <f t="shared" si="4"/>
        <v/>
      </c>
    </row>
    <row r="33" spans="1:18" x14ac:dyDescent="0.3">
      <c r="A33" s="17">
        <v>32</v>
      </c>
      <c r="B33" s="17">
        <v>7</v>
      </c>
      <c r="C33" s="17" t="s">
        <v>32</v>
      </c>
      <c r="D33" s="26" t="s">
        <v>13</v>
      </c>
      <c r="E33" s="31" t="s">
        <v>15</v>
      </c>
      <c r="F33" s="17">
        <v>2</v>
      </c>
      <c r="G33" s="17" t="s">
        <v>102</v>
      </c>
      <c r="H33" s="27">
        <v>0.5</v>
      </c>
      <c r="I33" s="28">
        <v>0.1</v>
      </c>
      <c r="J33" s="28">
        <v>0.4</v>
      </c>
      <c r="K33" s="29">
        <f t="shared" si="0"/>
        <v>0.30000000000000004</v>
      </c>
      <c r="L33" s="12" t="str">
        <f>VLOOKUP(TEXT(B33,"00"),'Blinding key'!$A$2:$G$26,7,FALSE())</f>
        <v>A</v>
      </c>
      <c r="M33" s="30" t="str">
        <f>IFERROR(AVERAGE(INDEX('R1'!$D$3:$M$27,$B33,IF($L33="A",$F33,$F33+5)),INDEX('R2'!$D$3:$M$27,$B33,IF($L33="A",$F33,$F33+5)),INDEX('R3'!$D$3:$M$27,$B33,IF($L33="A",$F33,$F33+5))),"")</f>
        <v/>
      </c>
      <c r="N33" s="30" t="str">
        <f>IFERROR(AVERAGE(INDEX('R1'!$D$3:$M$27,$B33,IF($L33="A",$F33+5,$F33)),INDEX('R2'!$D$3:$M$27,$B33,IF($L33="A",$F33+5,$F33)),INDEX('R3'!$D$3:$M$27,$B33,IF($L33="A",$F33+5,$F33))),"")</f>
        <v/>
      </c>
      <c r="O33" s="29" t="str">
        <f t="shared" si="1"/>
        <v/>
      </c>
      <c r="P33" s="10" t="str">
        <f t="shared" si="2"/>
        <v/>
      </c>
      <c r="Q33" s="10" t="str">
        <f t="shared" si="3"/>
        <v/>
      </c>
      <c r="R33" s="10">
        <f t="shared" si="4"/>
        <v>1</v>
      </c>
    </row>
    <row r="34" spans="1:18" x14ac:dyDescent="0.3">
      <c r="A34" s="17">
        <v>33</v>
      </c>
      <c r="B34" s="17">
        <v>7</v>
      </c>
      <c r="C34" s="17" t="s">
        <v>32</v>
      </c>
      <c r="D34" s="26" t="s">
        <v>13</v>
      </c>
      <c r="E34" s="26" t="s">
        <v>26</v>
      </c>
      <c r="F34" s="17">
        <v>3</v>
      </c>
      <c r="G34" s="17"/>
      <c r="H34" s="27"/>
      <c r="I34" s="28">
        <v>0.2</v>
      </c>
      <c r="J34" s="28">
        <v>0.3</v>
      </c>
      <c r="K34" s="29">
        <f t="shared" ref="K34:K65" si="5">J34-I34</f>
        <v>9.9999999999999978E-2</v>
      </c>
      <c r="L34" s="12" t="str">
        <f>VLOOKUP(TEXT(B34,"00"),'Blinding key'!$A$2:$G$26,7,FALSE())</f>
        <v>A</v>
      </c>
      <c r="M34" s="30" t="str">
        <f>IFERROR(AVERAGE(INDEX('R1'!$D$3:$M$27,$B34,IF($L34="A",$F34,$F34+5)),INDEX('R2'!$D$3:$M$27,$B34,IF($L34="A",$F34,$F34+5)),INDEX('R3'!$D$3:$M$27,$B34,IF($L34="A",$F34,$F34+5))),"")</f>
        <v/>
      </c>
      <c r="N34" s="30" t="str">
        <f>IFERROR(AVERAGE(INDEX('R1'!$D$3:$M$27,$B34,IF($L34="A",$F34+5,$F34)),INDEX('R2'!$D$3:$M$27,$B34,IF($L34="A",$F34+5,$F34)),INDEX('R3'!$D$3:$M$27,$B34,IF($L34="A",$F34+5,$F34))),"")</f>
        <v/>
      </c>
      <c r="O34" s="29" t="str">
        <f t="shared" ref="O34:O65" si="6">IF(OR(M34="",N34=""),"",N34-M34)</f>
        <v/>
      </c>
      <c r="P34" s="10" t="str">
        <f t="shared" ref="P34:P65" si="7">IF(O34="","",IF(SIGN(ROUND(O34,6))=SIGN(ROUND(K34,6)),1,0))</f>
        <v/>
      </c>
      <c r="Q34" s="10" t="str">
        <f t="shared" ref="Q34:Q65" si="8">IF(OR(G34&lt;&gt;"Y",O34=""),"",IF(SIGN(ROUND(O34,6))=SIGN(ROUND(H34-I34,6)),1,0))</f>
        <v/>
      </c>
      <c r="R34" s="10" t="str">
        <f t="shared" ref="R34:R65" si="9">IF(G34&lt;&gt;"Y","",IF(SIGN(ROUND(K34,6))=SIGN(ROUND(H34-I34,6)),1,0))</f>
        <v/>
      </c>
    </row>
    <row r="35" spans="1:18" x14ac:dyDescent="0.3">
      <c r="A35" s="17">
        <v>34</v>
      </c>
      <c r="B35" s="17">
        <v>7</v>
      </c>
      <c r="C35" s="17" t="s">
        <v>32</v>
      </c>
      <c r="D35" s="26" t="s">
        <v>13</v>
      </c>
      <c r="E35" s="26" t="s">
        <v>37</v>
      </c>
      <c r="F35" s="17">
        <v>4</v>
      </c>
      <c r="G35" s="17"/>
      <c r="H35" s="27"/>
      <c r="I35" s="28">
        <v>0.1</v>
      </c>
      <c r="J35" s="28">
        <v>0.6</v>
      </c>
      <c r="K35" s="29">
        <f t="shared" si="5"/>
        <v>0.5</v>
      </c>
      <c r="L35" s="12" t="str">
        <f>VLOOKUP(TEXT(B35,"00"),'Blinding key'!$A$2:$G$26,7,FALSE())</f>
        <v>A</v>
      </c>
      <c r="M35" s="30" t="str">
        <f>IFERROR(AVERAGE(INDEX('R1'!$D$3:$M$27,$B35,IF($L35="A",$F35,$F35+5)),INDEX('R2'!$D$3:$M$27,$B35,IF($L35="A",$F35,$F35+5)),INDEX('R3'!$D$3:$M$27,$B35,IF($L35="A",$F35,$F35+5))),"")</f>
        <v/>
      </c>
      <c r="N35" s="30" t="str">
        <f>IFERROR(AVERAGE(INDEX('R1'!$D$3:$M$27,$B35,IF($L35="A",$F35+5,$F35)),INDEX('R2'!$D$3:$M$27,$B35,IF($L35="A",$F35+5,$F35)),INDEX('R3'!$D$3:$M$27,$B35,IF($L35="A",$F35+5,$F35))),"")</f>
        <v/>
      </c>
      <c r="O35" s="29" t="str">
        <f t="shared" si="6"/>
        <v/>
      </c>
      <c r="P35" s="10" t="str">
        <f t="shared" si="7"/>
        <v/>
      </c>
      <c r="Q35" s="10" t="str">
        <f t="shared" si="8"/>
        <v/>
      </c>
      <c r="R35" s="10" t="str">
        <f t="shared" si="9"/>
        <v/>
      </c>
    </row>
    <row r="36" spans="1:18" x14ac:dyDescent="0.3">
      <c r="A36" s="17">
        <v>35</v>
      </c>
      <c r="B36" s="17">
        <v>7</v>
      </c>
      <c r="C36" s="17" t="s">
        <v>32</v>
      </c>
      <c r="D36" s="26" t="s">
        <v>13</v>
      </c>
      <c r="E36" s="26" t="s">
        <v>103</v>
      </c>
      <c r="F36" s="17">
        <v>5</v>
      </c>
      <c r="G36" s="17"/>
      <c r="H36" s="27"/>
      <c r="I36" s="28">
        <v>0.7</v>
      </c>
      <c r="J36" s="28">
        <v>0.5</v>
      </c>
      <c r="K36" s="29">
        <f t="shared" si="5"/>
        <v>-0.19999999999999996</v>
      </c>
      <c r="L36" s="12" t="str">
        <f>VLOOKUP(TEXT(B36,"00"),'Blinding key'!$A$2:$G$26,7,FALSE())</f>
        <v>A</v>
      </c>
      <c r="M36" s="30" t="str">
        <f>IFERROR(AVERAGE(INDEX('R1'!$D$3:$M$27,$B36,IF($L36="A",$F36,$F36+5)),INDEX('R2'!$D$3:$M$27,$B36,IF($L36="A",$F36,$F36+5)),INDEX('R3'!$D$3:$M$27,$B36,IF($L36="A",$F36,$F36+5))),"")</f>
        <v/>
      </c>
      <c r="N36" s="30" t="str">
        <f>IFERROR(AVERAGE(INDEX('R1'!$D$3:$M$27,$B36,IF($L36="A",$F36+5,$F36)),INDEX('R2'!$D$3:$M$27,$B36,IF($L36="A",$F36+5,$F36)),INDEX('R3'!$D$3:$M$27,$B36,IF($L36="A",$F36+5,$F36))),"")</f>
        <v/>
      </c>
      <c r="O36" s="29" t="str">
        <f t="shared" si="6"/>
        <v/>
      </c>
      <c r="P36" s="10" t="str">
        <f t="shared" si="7"/>
        <v/>
      </c>
      <c r="Q36" s="10" t="str">
        <f t="shared" si="8"/>
        <v/>
      </c>
      <c r="R36" s="10" t="str">
        <f t="shared" si="9"/>
        <v/>
      </c>
    </row>
    <row r="37" spans="1:18" x14ac:dyDescent="0.3">
      <c r="A37" s="23">
        <v>36</v>
      </c>
      <c r="B37" s="23">
        <v>8</v>
      </c>
      <c r="C37" s="23" t="s">
        <v>34</v>
      </c>
      <c r="D37" s="32" t="s">
        <v>35</v>
      </c>
      <c r="E37" s="32" t="s">
        <v>74</v>
      </c>
      <c r="F37" s="23">
        <v>1</v>
      </c>
      <c r="G37" s="23"/>
      <c r="H37" s="33"/>
      <c r="I37" s="28">
        <v>0.6</v>
      </c>
      <c r="J37" s="28">
        <v>0.7</v>
      </c>
      <c r="K37" s="29">
        <f t="shared" si="5"/>
        <v>9.9999999999999978E-2</v>
      </c>
      <c r="L37" s="12" t="str">
        <f>VLOOKUP(TEXT(B37,"00"),'Blinding key'!$A$2:$G$26,7,FALSE())</f>
        <v>A</v>
      </c>
      <c r="M37" s="30" t="str">
        <f>IFERROR(AVERAGE(INDEX('R1'!$D$3:$M$27,$B37,IF($L37="A",$F37,$F37+5)),INDEX('R2'!$D$3:$M$27,$B37,IF($L37="A",$F37,$F37+5)),INDEX('R3'!$D$3:$M$27,$B37,IF($L37="A",$F37,$F37+5))),"")</f>
        <v/>
      </c>
      <c r="N37" s="30" t="str">
        <f>IFERROR(AVERAGE(INDEX('R1'!$D$3:$M$27,$B37,IF($L37="A",$F37+5,$F37)),INDEX('R2'!$D$3:$M$27,$B37,IF($L37="A",$F37+5,$F37)),INDEX('R3'!$D$3:$M$27,$B37,IF($L37="A",$F37+5,$F37))),"")</f>
        <v/>
      </c>
      <c r="O37" s="29" t="str">
        <f t="shared" si="6"/>
        <v/>
      </c>
      <c r="P37" s="10" t="str">
        <f t="shared" si="7"/>
        <v/>
      </c>
      <c r="Q37" s="10" t="str">
        <f t="shared" si="8"/>
        <v/>
      </c>
      <c r="R37" s="10" t="str">
        <f t="shared" si="9"/>
        <v/>
      </c>
    </row>
    <row r="38" spans="1:18" x14ac:dyDescent="0.3">
      <c r="A38" s="23">
        <v>37</v>
      </c>
      <c r="B38" s="23">
        <v>8</v>
      </c>
      <c r="C38" s="23" t="s">
        <v>34</v>
      </c>
      <c r="D38" s="32" t="s">
        <v>35</v>
      </c>
      <c r="E38" s="32" t="s">
        <v>15</v>
      </c>
      <c r="F38" s="23">
        <v>2</v>
      </c>
      <c r="G38" s="23"/>
      <c r="H38" s="33"/>
      <c r="I38" s="28">
        <v>0.8</v>
      </c>
      <c r="J38" s="28">
        <v>0.5</v>
      </c>
      <c r="K38" s="29">
        <f t="shared" si="5"/>
        <v>-0.30000000000000004</v>
      </c>
      <c r="L38" s="12" t="str">
        <f>VLOOKUP(TEXT(B38,"00"),'Blinding key'!$A$2:$G$26,7,FALSE())</f>
        <v>A</v>
      </c>
      <c r="M38" s="30" t="str">
        <f>IFERROR(AVERAGE(INDEX('R1'!$D$3:$M$27,$B38,IF($L38="A",$F38,$F38+5)),INDEX('R2'!$D$3:$M$27,$B38,IF($L38="A",$F38,$F38+5)),INDEX('R3'!$D$3:$M$27,$B38,IF($L38="A",$F38,$F38+5))),"")</f>
        <v/>
      </c>
      <c r="N38" s="30" t="str">
        <f>IFERROR(AVERAGE(INDEX('R1'!$D$3:$M$27,$B38,IF($L38="A",$F38+5,$F38)),INDEX('R2'!$D$3:$M$27,$B38,IF($L38="A",$F38+5,$F38)),INDEX('R3'!$D$3:$M$27,$B38,IF($L38="A",$F38+5,$F38))),"")</f>
        <v/>
      </c>
      <c r="O38" s="29" t="str">
        <f t="shared" si="6"/>
        <v/>
      </c>
      <c r="P38" s="10" t="str">
        <f t="shared" si="7"/>
        <v/>
      </c>
      <c r="Q38" s="10" t="str">
        <f t="shared" si="8"/>
        <v/>
      </c>
      <c r="R38" s="10" t="str">
        <f t="shared" si="9"/>
        <v/>
      </c>
    </row>
    <row r="39" spans="1:18" x14ac:dyDescent="0.3">
      <c r="A39" s="23">
        <v>38</v>
      </c>
      <c r="B39" s="23">
        <v>8</v>
      </c>
      <c r="C39" s="23" t="s">
        <v>34</v>
      </c>
      <c r="D39" s="32" t="s">
        <v>35</v>
      </c>
      <c r="E39" s="32" t="s">
        <v>26</v>
      </c>
      <c r="F39" s="23">
        <v>3</v>
      </c>
      <c r="G39" s="23"/>
      <c r="H39" s="33"/>
      <c r="I39" s="28">
        <v>0.4</v>
      </c>
      <c r="J39" s="28">
        <v>0.3</v>
      </c>
      <c r="K39" s="29">
        <f t="shared" si="5"/>
        <v>-0.10000000000000003</v>
      </c>
      <c r="L39" s="12" t="str">
        <f>VLOOKUP(TEXT(B39,"00"),'Blinding key'!$A$2:$G$26,7,FALSE())</f>
        <v>A</v>
      </c>
      <c r="M39" s="30" t="str">
        <f>IFERROR(AVERAGE(INDEX('R1'!$D$3:$M$27,$B39,IF($L39="A",$F39,$F39+5)),INDEX('R2'!$D$3:$M$27,$B39,IF($L39="A",$F39,$F39+5)),INDEX('R3'!$D$3:$M$27,$B39,IF($L39="A",$F39,$F39+5))),"")</f>
        <v/>
      </c>
      <c r="N39" s="30" t="str">
        <f>IFERROR(AVERAGE(INDEX('R1'!$D$3:$M$27,$B39,IF($L39="A",$F39+5,$F39)),INDEX('R2'!$D$3:$M$27,$B39,IF($L39="A",$F39+5,$F39)),INDEX('R3'!$D$3:$M$27,$B39,IF($L39="A",$F39+5,$F39))),"")</f>
        <v/>
      </c>
      <c r="O39" s="29" t="str">
        <f t="shared" si="6"/>
        <v/>
      </c>
      <c r="P39" s="10" t="str">
        <f t="shared" si="7"/>
        <v/>
      </c>
      <c r="Q39" s="10" t="str">
        <f t="shared" si="8"/>
        <v/>
      </c>
      <c r="R39" s="10" t="str">
        <f t="shared" si="9"/>
        <v/>
      </c>
    </row>
    <row r="40" spans="1:18" x14ac:dyDescent="0.3">
      <c r="A40" s="23">
        <v>39</v>
      </c>
      <c r="B40" s="23">
        <v>8</v>
      </c>
      <c r="C40" s="23" t="s">
        <v>34</v>
      </c>
      <c r="D40" s="32" t="s">
        <v>35</v>
      </c>
      <c r="E40" s="34" t="s">
        <v>37</v>
      </c>
      <c r="F40" s="23">
        <v>4</v>
      </c>
      <c r="G40" s="23" t="s">
        <v>102</v>
      </c>
      <c r="H40" s="33">
        <v>0.8</v>
      </c>
      <c r="I40" s="28">
        <v>0.7</v>
      </c>
      <c r="J40" s="28">
        <v>0.6</v>
      </c>
      <c r="K40" s="29">
        <f t="shared" si="5"/>
        <v>-9.9999999999999978E-2</v>
      </c>
      <c r="L40" s="12" t="str">
        <f>VLOOKUP(TEXT(B40,"00"),'Blinding key'!$A$2:$G$26,7,FALSE())</f>
        <v>A</v>
      </c>
      <c r="M40" s="30" t="str">
        <f>IFERROR(AVERAGE(INDEX('R1'!$D$3:$M$27,$B40,IF($L40="A",$F40,$F40+5)),INDEX('R2'!$D$3:$M$27,$B40,IF($L40="A",$F40,$F40+5)),INDEX('R3'!$D$3:$M$27,$B40,IF($L40="A",$F40,$F40+5))),"")</f>
        <v/>
      </c>
      <c r="N40" s="30" t="str">
        <f>IFERROR(AVERAGE(INDEX('R1'!$D$3:$M$27,$B40,IF($L40="A",$F40+5,$F40)),INDEX('R2'!$D$3:$M$27,$B40,IF($L40="A",$F40+5,$F40)),INDEX('R3'!$D$3:$M$27,$B40,IF($L40="A",$F40+5,$F40))),"")</f>
        <v/>
      </c>
      <c r="O40" s="29" t="str">
        <f t="shared" si="6"/>
        <v/>
      </c>
      <c r="P40" s="10" t="str">
        <f t="shared" si="7"/>
        <v/>
      </c>
      <c r="Q40" s="10" t="str">
        <f t="shared" si="8"/>
        <v/>
      </c>
      <c r="R40" s="10">
        <f t="shared" si="9"/>
        <v>0</v>
      </c>
    </row>
    <row r="41" spans="1:18" x14ac:dyDescent="0.3">
      <c r="A41" s="23">
        <v>40</v>
      </c>
      <c r="B41" s="23">
        <v>8</v>
      </c>
      <c r="C41" s="23" t="s">
        <v>34</v>
      </c>
      <c r="D41" s="32" t="s">
        <v>35</v>
      </c>
      <c r="E41" s="32" t="s">
        <v>103</v>
      </c>
      <c r="F41" s="23">
        <v>5</v>
      </c>
      <c r="G41" s="23"/>
      <c r="H41" s="33"/>
      <c r="I41" s="28">
        <v>0.5</v>
      </c>
      <c r="J41" s="28">
        <v>0.8</v>
      </c>
      <c r="K41" s="29">
        <f t="shared" si="5"/>
        <v>0.30000000000000004</v>
      </c>
      <c r="L41" s="12" t="str">
        <f>VLOOKUP(TEXT(B41,"00"),'Blinding key'!$A$2:$G$26,7,FALSE())</f>
        <v>A</v>
      </c>
      <c r="M41" s="30" t="str">
        <f>IFERROR(AVERAGE(INDEX('R1'!$D$3:$M$27,$B41,IF($L41="A",$F41,$F41+5)),INDEX('R2'!$D$3:$M$27,$B41,IF($L41="A",$F41,$F41+5)),INDEX('R3'!$D$3:$M$27,$B41,IF($L41="A",$F41,$F41+5))),"")</f>
        <v/>
      </c>
      <c r="N41" s="30" t="str">
        <f>IFERROR(AVERAGE(INDEX('R1'!$D$3:$M$27,$B41,IF($L41="A",$F41+5,$F41)),INDEX('R2'!$D$3:$M$27,$B41,IF($L41="A",$F41+5,$F41)),INDEX('R3'!$D$3:$M$27,$B41,IF($L41="A",$F41+5,$F41))),"")</f>
        <v/>
      </c>
      <c r="O41" s="29" t="str">
        <f t="shared" si="6"/>
        <v/>
      </c>
      <c r="P41" s="10" t="str">
        <f t="shared" si="7"/>
        <v/>
      </c>
      <c r="Q41" s="10" t="str">
        <f t="shared" si="8"/>
        <v/>
      </c>
      <c r="R41" s="10" t="str">
        <f t="shared" si="9"/>
        <v/>
      </c>
    </row>
    <row r="42" spans="1:18" x14ac:dyDescent="0.3">
      <c r="A42" s="17">
        <v>41</v>
      </c>
      <c r="B42" s="17">
        <v>9</v>
      </c>
      <c r="C42" s="17" t="s">
        <v>39</v>
      </c>
      <c r="D42" s="26" t="s">
        <v>13</v>
      </c>
      <c r="E42" s="26" t="s">
        <v>74</v>
      </c>
      <c r="F42" s="17">
        <v>1</v>
      </c>
      <c r="G42" s="17"/>
      <c r="H42" s="27"/>
      <c r="I42" s="28">
        <v>0.3</v>
      </c>
      <c r="J42" s="28">
        <v>0.2</v>
      </c>
      <c r="K42" s="29">
        <f t="shared" si="5"/>
        <v>-9.9999999999999978E-2</v>
      </c>
      <c r="L42" s="12" t="str">
        <f>VLOOKUP(TEXT(B42,"00"),'Blinding key'!$A$2:$G$26,7,FALSE())</f>
        <v>B</v>
      </c>
      <c r="M42" s="30" t="str">
        <f>IFERROR(AVERAGE(INDEX('R1'!$D$3:$M$27,$B42,IF($L42="A",$F42,$F42+5)),INDEX('R2'!$D$3:$M$27,$B42,IF($L42="A",$F42,$F42+5)),INDEX('R3'!$D$3:$M$27,$B42,IF($L42="A",$F42,$F42+5))),"")</f>
        <v/>
      </c>
      <c r="N42" s="30" t="str">
        <f>IFERROR(AVERAGE(INDEX('R1'!$D$3:$M$27,$B42,IF($L42="A",$F42+5,$F42)),INDEX('R2'!$D$3:$M$27,$B42,IF($L42="A",$F42+5,$F42)),INDEX('R3'!$D$3:$M$27,$B42,IF($L42="A",$F42+5,$F42))),"")</f>
        <v/>
      </c>
      <c r="O42" s="29" t="str">
        <f t="shared" si="6"/>
        <v/>
      </c>
      <c r="P42" s="10" t="str">
        <f t="shared" si="7"/>
        <v/>
      </c>
      <c r="Q42" s="10" t="str">
        <f t="shared" si="8"/>
        <v/>
      </c>
      <c r="R42" s="10" t="str">
        <f t="shared" si="9"/>
        <v/>
      </c>
    </row>
    <row r="43" spans="1:18" x14ac:dyDescent="0.3">
      <c r="A43" s="17">
        <v>42</v>
      </c>
      <c r="B43" s="17">
        <v>9</v>
      </c>
      <c r="C43" s="17" t="s">
        <v>39</v>
      </c>
      <c r="D43" s="26" t="s">
        <v>13</v>
      </c>
      <c r="E43" s="31" t="s">
        <v>15</v>
      </c>
      <c r="F43" s="17">
        <v>2</v>
      </c>
      <c r="G43" s="17" t="s">
        <v>102</v>
      </c>
      <c r="H43" s="27">
        <v>0.1</v>
      </c>
      <c r="I43" s="28">
        <v>0.1</v>
      </c>
      <c r="J43" s="28">
        <v>0.1</v>
      </c>
      <c r="K43" s="29">
        <f t="shared" si="5"/>
        <v>0</v>
      </c>
      <c r="L43" s="12" t="str">
        <f>VLOOKUP(TEXT(B43,"00"),'Blinding key'!$A$2:$G$26,7,FALSE())</f>
        <v>B</v>
      </c>
      <c r="M43" s="30" t="str">
        <f>IFERROR(AVERAGE(INDEX('R1'!$D$3:$M$27,$B43,IF($L43="A",$F43,$F43+5)),INDEX('R2'!$D$3:$M$27,$B43,IF($L43="A",$F43,$F43+5)),INDEX('R3'!$D$3:$M$27,$B43,IF($L43="A",$F43,$F43+5))),"")</f>
        <v/>
      </c>
      <c r="N43" s="30" t="str">
        <f>IFERROR(AVERAGE(INDEX('R1'!$D$3:$M$27,$B43,IF($L43="A",$F43+5,$F43)),INDEX('R2'!$D$3:$M$27,$B43,IF($L43="A",$F43+5,$F43)),INDEX('R3'!$D$3:$M$27,$B43,IF($L43="A",$F43+5,$F43))),"")</f>
        <v/>
      </c>
      <c r="O43" s="29" t="str">
        <f t="shared" si="6"/>
        <v/>
      </c>
      <c r="P43" s="10" t="str">
        <f t="shared" si="7"/>
        <v/>
      </c>
      <c r="Q43" s="10" t="str">
        <f t="shared" si="8"/>
        <v/>
      </c>
      <c r="R43" s="10">
        <f t="shared" si="9"/>
        <v>1</v>
      </c>
    </row>
    <row r="44" spans="1:18" x14ac:dyDescent="0.3">
      <c r="A44" s="17">
        <v>43</v>
      </c>
      <c r="B44" s="17">
        <v>9</v>
      </c>
      <c r="C44" s="17" t="s">
        <v>39</v>
      </c>
      <c r="D44" s="26" t="s">
        <v>13</v>
      </c>
      <c r="E44" s="26" t="s">
        <v>26</v>
      </c>
      <c r="F44" s="17">
        <v>3</v>
      </c>
      <c r="G44" s="17"/>
      <c r="H44" s="27"/>
      <c r="I44" s="28">
        <v>0.6</v>
      </c>
      <c r="J44" s="28">
        <v>0.1</v>
      </c>
      <c r="K44" s="29">
        <f t="shared" si="5"/>
        <v>-0.5</v>
      </c>
      <c r="L44" s="12" t="str">
        <f>VLOOKUP(TEXT(B44,"00"),'Blinding key'!$A$2:$G$26,7,FALSE())</f>
        <v>B</v>
      </c>
      <c r="M44" s="30" t="str">
        <f>IFERROR(AVERAGE(INDEX('R1'!$D$3:$M$27,$B44,IF($L44="A",$F44,$F44+5)),INDEX('R2'!$D$3:$M$27,$B44,IF($L44="A",$F44,$F44+5)),INDEX('R3'!$D$3:$M$27,$B44,IF($L44="A",$F44,$F44+5))),"")</f>
        <v/>
      </c>
      <c r="N44" s="30" t="str">
        <f>IFERROR(AVERAGE(INDEX('R1'!$D$3:$M$27,$B44,IF($L44="A",$F44+5,$F44)),INDEX('R2'!$D$3:$M$27,$B44,IF($L44="A",$F44+5,$F44)),INDEX('R3'!$D$3:$M$27,$B44,IF($L44="A",$F44+5,$F44))),"")</f>
        <v/>
      </c>
      <c r="O44" s="29" t="str">
        <f t="shared" si="6"/>
        <v/>
      </c>
      <c r="P44" s="10" t="str">
        <f t="shared" si="7"/>
        <v/>
      </c>
      <c r="Q44" s="10" t="str">
        <f t="shared" si="8"/>
        <v/>
      </c>
      <c r="R44" s="10" t="str">
        <f t="shared" si="9"/>
        <v/>
      </c>
    </row>
    <row r="45" spans="1:18" x14ac:dyDescent="0.3">
      <c r="A45" s="17">
        <v>44</v>
      </c>
      <c r="B45" s="17">
        <v>9</v>
      </c>
      <c r="C45" s="17" t="s">
        <v>39</v>
      </c>
      <c r="D45" s="26" t="s">
        <v>13</v>
      </c>
      <c r="E45" s="26" t="s">
        <v>37</v>
      </c>
      <c r="F45" s="17">
        <v>4</v>
      </c>
      <c r="G45" s="17"/>
      <c r="H45" s="27"/>
      <c r="I45" s="28">
        <v>0.1</v>
      </c>
      <c r="J45" s="28">
        <v>0</v>
      </c>
      <c r="K45" s="29">
        <f t="shared" si="5"/>
        <v>-0.1</v>
      </c>
      <c r="L45" s="12" t="str">
        <f>VLOOKUP(TEXT(B45,"00"),'Blinding key'!$A$2:$G$26,7,FALSE())</f>
        <v>B</v>
      </c>
      <c r="M45" s="30" t="str">
        <f>IFERROR(AVERAGE(INDEX('R1'!$D$3:$M$27,$B45,IF($L45="A",$F45,$F45+5)),INDEX('R2'!$D$3:$M$27,$B45,IF($L45="A",$F45,$F45+5)),INDEX('R3'!$D$3:$M$27,$B45,IF($L45="A",$F45,$F45+5))),"")</f>
        <v/>
      </c>
      <c r="N45" s="30" t="str">
        <f>IFERROR(AVERAGE(INDEX('R1'!$D$3:$M$27,$B45,IF($L45="A",$F45+5,$F45)),INDEX('R2'!$D$3:$M$27,$B45,IF($L45="A",$F45+5,$F45)),INDEX('R3'!$D$3:$M$27,$B45,IF($L45="A",$F45+5,$F45))),"")</f>
        <v/>
      </c>
      <c r="O45" s="29" t="str">
        <f t="shared" si="6"/>
        <v/>
      </c>
      <c r="P45" s="10" t="str">
        <f t="shared" si="7"/>
        <v/>
      </c>
      <c r="Q45" s="10" t="str">
        <f t="shared" si="8"/>
        <v/>
      </c>
      <c r="R45" s="10" t="str">
        <f t="shared" si="9"/>
        <v/>
      </c>
    </row>
    <row r="46" spans="1:18" x14ac:dyDescent="0.3">
      <c r="A46" s="17">
        <v>45</v>
      </c>
      <c r="B46" s="17">
        <v>9</v>
      </c>
      <c r="C46" s="17" t="s">
        <v>39</v>
      </c>
      <c r="D46" s="26" t="s">
        <v>13</v>
      </c>
      <c r="E46" s="26" t="s">
        <v>103</v>
      </c>
      <c r="F46" s="17">
        <v>5</v>
      </c>
      <c r="G46" s="17"/>
      <c r="H46" s="27"/>
      <c r="I46" s="28">
        <v>0.2</v>
      </c>
      <c r="J46" s="28">
        <v>0.1</v>
      </c>
      <c r="K46" s="29">
        <f t="shared" si="5"/>
        <v>-0.1</v>
      </c>
      <c r="L46" s="12" t="str">
        <f>VLOOKUP(TEXT(B46,"00"),'Blinding key'!$A$2:$G$26,7,FALSE())</f>
        <v>B</v>
      </c>
      <c r="M46" s="30" t="str">
        <f>IFERROR(AVERAGE(INDEX('R1'!$D$3:$M$27,$B46,IF($L46="A",$F46,$F46+5)),INDEX('R2'!$D$3:$M$27,$B46,IF($L46="A",$F46,$F46+5)),INDEX('R3'!$D$3:$M$27,$B46,IF($L46="A",$F46,$F46+5))),"")</f>
        <v/>
      </c>
      <c r="N46" s="30" t="str">
        <f>IFERROR(AVERAGE(INDEX('R1'!$D$3:$M$27,$B46,IF($L46="A",$F46+5,$F46)),INDEX('R2'!$D$3:$M$27,$B46,IF($L46="A",$F46+5,$F46)),INDEX('R3'!$D$3:$M$27,$B46,IF($L46="A",$F46+5,$F46))),"")</f>
        <v/>
      </c>
      <c r="O46" s="29" t="str">
        <f t="shared" si="6"/>
        <v/>
      </c>
      <c r="P46" s="10" t="str">
        <f t="shared" si="7"/>
        <v/>
      </c>
      <c r="Q46" s="10" t="str">
        <f t="shared" si="8"/>
        <v/>
      </c>
      <c r="R46" s="10" t="str">
        <f t="shared" si="9"/>
        <v/>
      </c>
    </row>
    <row r="47" spans="1:18" ht="26.4" x14ac:dyDescent="0.3">
      <c r="A47" s="23">
        <v>46</v>
      </c>
      <c r="B47" s="23">
        <v>10</v>
      </c>
      <c r="C47" s="23" t="s">
        <v>41</v>
      </c>
      <c r="D47" s="32" t="s">
        <v>24</v>
      </c>
      <c r="E47" s="32" t="s">
        <v>74</v>
      </c>
      <c r="F47" s="23">
        <v>1</v>
      </c>
      <c r="G47" s="23"/>
      <c r="H47" s="33"/>
      <c r="I47" s="28">
        <v>0.7</v>
      </c>
      <c r="J47" s="28">
        <v>0.7</v>
      </c>
      <c r="K47" s="29">
        <f t="shared" si="5"/>
        <v>0</v>
      </c>
      <c r="L47" s="12" t="str">
        <f>VLOOKUP(TEXT(B47,"00"),'Blinding key'!$A$2:$G$26,7,FALSE())</f>
        <v>B</v>
      </c>
      <c r="M47" s="30" t="str">
        <f>IFERROR(AVERAGE(INDEX('R1'!$D$3:$M$27,$B47,IF($L47="A",$F47,$F47+5)),INDEX('R2'!$D$3:$M$27,$B47,IF($L47="A",$F47,$F47+5)),INDEX('R3'!$D$3:$M$27,$B47,IF($L47="A",$F47,$F47+5))),"")</f>
        <v/>
      </c>
      <c r="N47" s="30" t="str">
        <f>IFERROR(AVERAGE(INDEX('R1'!$D$3:$M$27,$B47,IF($L47="A",$F47+5,$F47)),INDEX('R2'!$D$3:$M$27,$B47,IF($L47="A",$F47+5,$F47)),INDEX('R3'!$D$3:$M$27,$B47,IF($L47="A",$F47+5,$F47))),"")</f>
        <v/>
      </c>
      <c r="O47" s="29" t="str">
        <f t="shared" si="6"/>
        <v/>
      </c>
      <c r="P47" s="10" t="str">
        <f t="shared" si="7"/>
        <v/>
      </c>
      <c r="Q47" s="10" t="str">
        <f t="shared" si="8"/>
        <v/>
      </c>
      <c r="R47" s="10" t="str">
        <f t="shared" si="9"/>
        <v/>
      </c>
    </row>
    <row r="48" spans="1:18" ht="26.4" x14ac:dyDescent="0.3">
      <c r="A48" s="23">
        <v>47</v>
      </c>
      <c r="B48" s="23">
        <v>10</v>
      </c>
      <c r="C48" s="23" t="s">
        <v>41</v>
      </c>
      <c r="D48" s="32" t="s">
        <v>24</v>
      </c>
      <c r="E48" s="32" t="s">
        <v>15</v>
      </c>
      <c r="F48" s="23">
        <v>2</v>
      </c>
      <c r="G48" s="23"/>
      <c r="H48" s="33"/>
      <c r="I48" s="28">
        <v>0.4</v>
      </c>
      <c r="J48" s="28">
        <v>0.5</v>
      </c>
      <c r="K48" s="29">
        <f t="shared" si="5"/>
        <v>9.9999999999999978E-2</v>
      </c>
      <c r="L48" s="12" t="str">
        <f>VLOOKUP(TEXT(B48,"00"),'Blinding key'!$A$2:$G$26,7,FALSE())</f>
        <v>B</v>
      </c>
      <c r="M48" s="30" t="str">
        <f>IFERROR(AVERAGE(INDEX('R1'!$D$3:$M$27,$B48,IF($L48="A",$F48,$F48+5)),INDEX('R2'!$D$3:$M$27,$B48,IF($L48="A",$F48,$F48+5)),INDEX('R3'!$D$3:$M$27,$B48,IF($L48="A",$F48,$F48+5))),"")</f>
        <v/>
      </c>
      <c r="N48" s="30" t="str">
        <f>IFERROR(AVERAGE(INDEX('R1'!$D$3:$M$27,$B48,IF($L48="A",$F48+5,$F48)),INDEX('R2'!$D$3:$M$27,$B48,IF($L48="A",$F48+5,$F48)),INDEX('R3'!$D$3:$M$27,$B48,IF($L48="A",$F48+5,$F48))),"")</f>
        <v/>
      </c>
      <c r="O48" s="29" t="str">
        <f t="shared" si="6"/>
        <v/>
      </c>
      <c r="P48" s="10" t="str">
        <f t="shared" si="7"/>
        <v/>
      </c>
      <c r="Q48" s="10" t="str">
        <f t="shared" si="8"/>
        <v/>
      </c>
      <c r="R48" s="10" t="str">
        <f t="shared" si="9"/>
        <v/>
      </c>
    </row>
    <row r="49" spans="1:18" ht="26.4" x14ac:dyDescent="0.3">
      <c r="A49" s="23">
        <v>48</v>
      </c>
      <c r="B49" s="23">
        <v>10</v>
      </c>
      <c r="C49" s="23" t="s">
        <v>41</v>
      </c>
      <c r="D49" s="32" t="s">
        <v>24</v>
      </c>
      <c r="E49" s="34" t="s">
        <v>26</v>
      </c>
      <c r="F49" s="23">
        <v>3</v>
      </c>
      <c r="G49" s="23" t="s">
        <v>102</v>
      </c>
      <c r="H49" s="33">
        <v>0.2</v>
      </c>
      <c r="I49" s="28">
        <v>0.6</v>
      </c>
      <c r="J49" s="28">
        <v>0.4</v>
      </c>
      <c r="K49" s="29">
        <f t="shared" si="5"/>
        <v>-0.19999999999999996</v>
      </c>
      <c r="L49" s="12" t="str">
        <f>VLOOKUP(TEXT(B49,"00"),'Blinding key'!$A$2:$G$26,7,FALSE())</f>
        <v>B</v>
      </c>
      <c r="M49" s="30" t="str">
        <f>IFERROR(AVERAGE(INDEX('R1'!$D$3:$M$27,$B49,IF($L49="A",$F49,$F49+5)),INDEX('R2'!$D$3:$M$27,$B49,IF($L49="A",$F49,$F49+5)),INDEX('R3'!$D$3:$M$27,$B49,IF($L49="A",$F49,$F49+5))),"")</f>
        <v/>
      </c>
      <c r="N49" s="30" t="str">
        <f>IFERROR(AVERAGE(INDEX('R1'!$D$3:$M$27,$B49,IF($L49="A",$F49+5,$F49)),INDEX('R2'!$D$3:$M$27,$B49,IF($L49="A",$F49+5,$F49)),INDEX('R3'!$D$3:$M$27,$B49,IF($L49="A",$F49+5,$F49))),"")</f>
        <v/>
      </c>
      <c r="O49" s="29" t="str">
        <f t="shared" si="6"/>
        <v/>
      </c>
      <c r="P49" s="10" t="str">
        <f t="shared" si="7"/>
        <v/>
      </c>
      <c r="Q49" s="10" t="str">
        <f t="shared" si="8"/>
        <v/>
      </c>
      <c r="R49" s="10">
        <f t="shared" si="9"/>
        <v>1</v>
      </c>
    </row>
    <row r="50" spans="1:18" ht="26.4" x14ac:dyDescent="0.3">
      <c r="A50" s="23">
        <v>49</v>
      </c>
      <c r="B50" s="23">
        <v>10</v>
      </c>
      <c r="C50" s="23" t="s">
        <v>41</v>
      </c>
      <c r="D50" s="32" t="s">
        <v>24</v>
      </c>
      <c r="E50" s="32" t="s">
        <v>37</v>
      </c>
      <c r="F50" s="23">
        <v>4</v>
      </c>
      <c r="G50" s="23"/>
      <c r="H50" s="33"/>
      <c r="I50" s="28">
        <v>0.5</v>
      </c>
      <c r="J50" s="28">
        <v>0.6</v>
      </c>
      <c r="K50" s="29">
        <f t="shared" si="5"/>
        <v>9.9999999999999978E-2</v>
      </c>
      <c r="L50" s="12" t="str">
        <f>VLOOKUP(TEXT(B50,"00"),'Blinding key'!$A$2:$G$26,7,FALSE())</f>
        <v>B</v>
      </c>
      <c r="M50" s="30" t="str">
        <f>IFERROR(AVERAGE(INDEX('R1'!$D$3:$M$27,$B50,IF($L50="A",$F50,$F50+5)),INDEX('R2'!$D$3:$M$27,$B50,IF($L50="A",$F50,$F50+5)),INDEX('R3'!$D$3:$M$27,$B50,IF($L50="A",$F50,$F50+5))),"")</f>
        <v/>
      </c>
      <c r="N50" s="30" t="str">
        <f>IFERROR(AVERAGE(INDEX('R1'!$D$3:$M$27,$B50,IF($L50="A",$F50+5,$F50)),INDEX('R2'!$D$3:$M$27,$B50,IF($L50="A",$F50+5,$F50)),INDEX('R3'!$D$3:$M$27,$B50,IF($L50="A",$F50+5,$F50))),"")</f>
        <v/>
      </c>
      <c r="O50" s="29" t="str">
        <f t="shared" si="6"/>
        <v/>
      </c>
      <c r="P50" s="10" t="str">
        <f t="shared" si="7"/>
        <v/>
      </c>
      <c r="Q50" s="10" t="str">
        <f t="shared" si="8"/>
        <v/>
      </c>
      <c r="R50" s="10" t="str">
        <f t="shared" si="9"/>
        <v/>
      </c>
    </row>
    <row r="51" spans="1:18" ht="26.4" x14ac:dyDescent="0.3">
      <c r="A51" s="23">
        <v>50</v>
      </c>
      <c r="B51" s="23">
        <v>10</v>
      </c>
      <c r="C51" s="23" t="s">
        <v>41</v>
      </c>
      <c r="D51" s="32" t="s">
        <v>24</v>
      </c>
      <c r="E51" s="32" t="s">
        <v>103</v>
      </c>
      <c r="F51" s="23">
        <v>5</v>
      </c>
      <c r="G51" s="23"/>
      <c r="H51" s="33"/>
      <c r="I51" s="28">
        <v>0.3</v>
      </c>
      <c r="J51" s="28">
        <v>0.2</v>
      </c>
      <c r="K51" s="29">
        <f t="shared" si="5"/>
        <v>-9.9999999999999978E-2</v>
      </c>
      <c r="L51" s="12" t="str">
        <f>VLOOKUP(TEXT(B51,"00"),'Blinding key'!$A$2:$G$26,7,FALSE())</f>
        <v>B</v>
      </c>
      <c r="M51" s="30" t="str">
        <f>IFERROR(AVERAGE(INDEX('R1'!$D$3:$M$27,$B51,IF($L51="A",$F51,$F51+5)),INDEX('R2'!$D$3:$M$27,$B51,IF($L51="A",$F51,$F51+5)),INDEX('R3'!$D$3:$M$27,$B51,IF($L51="A",$F51,$F51+5))),"")</f>
        <v/>
      </c>
      <c r="N51" s="30" t="str">
        <f>IFERROR(AVERAGE(INDEX('R1'!$D$3:$M$27,$B51,IF($L51="A",$F51+5,$F51)),INDEX('R2'!$D$3:$M$27,$B51,IF($L51="A",$F51+5,$F51)),INDEX('R3'!$D$3:$M$27,$B51,IF($L51="A",$F51+5,$F51))),"")</f>
        <v/>
      </c>
      <c r="O51" s="29" t="str">
        <f t="shared" si="6"/>
        <v/>
      </c>
      <c r="P51" s="10" t="str">
        <f t="shared" si="7"/>
        <v/>
      </c>
      <c r="Q51" s="10" t="str">
        <f t="shared" si="8"/>
        <v/>
      </c>
      <c r="R51" s="10" t="str">
        <f t="shared" si="9"/>
        <v/>
      </c>
    </row>
    <row r="52" spans="1:18" ht="26.4" x14ac:dyDescent="0.3">
      <c r="A52" s="17">
        <v>51</v>
      </c>
      <c r="B52" s="17">
        <v>11</v>
      </c>
      <c r="C52" s="17" t="s">
        <v>43</v>
      </c>
      <c r="D52" s="26" t="s">
        <v>24</v>
      </c>
      <c r="E52" s="26" t="s">
        <v>74</v>
      </c>
      <c r="F52" s="17">
        <v>1</v>
      </c>
      <c r="G52" s="17"/>
      <c r="H52" s="27"/>
      <c r="I52" s="28">
        <v>0.6</v>
      </c>
      <c r="J52" s="28">
        <v>0.7</v>
      </c>
      <c r="K52" s="29">
        <f t="shared" si="5"/>
        <v>9.9999999999999978E-2</v>
      </c>
      <c r="L52" s="12" t="str">
        <f>VLOOKUP(TEXT(B52,"00"),'Blinding key'!$A$2:$G$26,7,FALSE())</f>
        <v>A</v>
      </c>
      <c r="M52" s="30" t="str">
        <f>IFERROR(AVERAGE(INDEX('R1'!$D$3:$M$27,$B52,IF($L52="A",$F52,$F52+5)),INDEX('R2'!$D$3:$M$27,$B52,IF($L52="A",$F52,$F52+5)),INDEX('R3'!$D$3:$M$27,$B52,IF($L52="A",$F52,$F52+5))),"")</f>
        <v/>
      </c>
      <c r="N52" s="30" t="str">
        <f>IFERROR(AVERAGE(INDEX('R1'!$D$3:$M$27,$B52,IF($L52="A",$F52+5,$F52)),INDEX('R2'!$D$3:$M$27,$B52,IF($L52="A",$F52+5,$F52)),INDEX('R3'!$D$3:$M$27,$B52,IF($L52="A",$F52+5,$F52))),"")</f>
        <v/>
      </c>
      <c r="O52" s="29" t="str">
        <f t="shared" si="6"/>
        <v/>
      </c>
      <c r="P52" s="10" t="str">
        <f t="shared" si="7"/>
        <v/>
      </c>
      <c r="Q52" s="10" t="str">
        <f t="shared" si="8"/>
        <v/>
      </c>
      <c r="R52" s="10" t="str">
        <f t="shared" si="9"/>
        <v/>
      </c>
    </row>
    <row r="53" spans="1:18" ht="26.4" x14ac:dyDescent="0.3">
      <c r="A53" s="17">
        <v>52</v>
      </c>
      <c r="B53" s="17">
        <v>11</v>
      </c>
      <c r="C53" s="17" t="s">
        <v>43</v>
      </c>
      <c r="D53" s="26" t="s">
        <v>24</v>
      </c>
      <c r="E53" s="26" t="s">
        <v>15</v>
      </c>
      <c r="F53" s="17">
        <v>2</v>
      </c>
      <c r="G53" s="17"/>
      <c r="H53" s="27"/>
      <c r="I53" s="28">
        <v>0.4</v>
      </c>
      <c r="J53" s="28">
        <v>0.5</v>
      </c>
      <c r="K53" s="29">
        <f t="shared" si="5"/>
        <v>9.9999999999999978E-2</v>
      </c>
      <c r="L53" s="12" t="str">
        <f>VLOOKUP(TEXT(B53,"00"),'Blinding key'!$A$2:$G$26,7,FALSE())</f>
        <v>A</v>
      </c>
      <c r="M53" s="30" t="str">
        <f>IFERROR(AVERAGE(INDEX('R1'!$D$3:$M$27,$B53,IF($L53="A",$F53,$F53+5)),INDEX('R2'!$D$3:$M$27,$B53,IF($L53="A",$F53,$F53+5)),INDEX('R3'!$D$3:$M$27,$B53,IF($L53="A",$F53,$F53+5))),"")</f>
        <v/>
      </c>
      <c r="N53" s="30" t="str">
        <f>IFERROR(AVERAGE(INDEX('R1'!$D$3:$M$27,$B53,IF($L53="A",$F53+5,$F53)),INDEX('R2'!$D$3:$M$27,$B53,IF($L53="A",$F53+5,$F53)),INDEX('R3'!$D$3:$M$27,$B53,IF($L53="A",$F53+5,$F53))),"")</f>
        <v/>
      </c>
      <c r="O53" s="29" t="str">
        <f t="shared" si="6"/>
        <v/>
      </c>
      <c r="P53" s="10" t="str">
        <f t="shared" si="7"/>
        <v/>
      </c>
      <c r="Q53" s="10" t="str">
        <f t="shared" si="8"/>
        <v/>
      </c>
      <c r="R53" s="10" t="str">
        <f t="shared" si="9"/>
        <v/>
      </c>
    </row>
    <row r="54" spans="1:18" ht="26.4" x14ac:dyDescent="0.3">
      <c r="A54" s="17">
        <v>53</v>
      </c>
      <c r="B54" s="17">
        <v>11</v>
      </c>
      <c r="C54" s="17" t="s">
        <v>43</v>
      </c>
      <c r="D54" s="26" t="s">
        <v>24</v>
      </c>
      <c r="E54" s="31" t="s">
        <v>26</v>
      </c>
      <c r="F54" s="17">
        <v>3</v>
      </c>
      <c r="G54" s="17" t="s">
        <v>102</v>
      </c>
      <c r="H54" s="27">
        <v>0.5</v>
      </c>
      <c r="I54" s="28">
        <v>0.3</v>
      </c>
      <c r="J54" s="28">
        <v>0.6</v>
      </c>
      <c r="K54" s="29">
        <f t="shared" si="5"/>
        <v>0.3</v>
      </c>
      <c r="L54" s="12" t="str">
        <f>VLOOKUP(TEXT(B54,"00"),'Blinding key'!$A$2:$G$26,7,FALSE())</f>
        <v>A</v>
      </c>
      <c r="M54" s="30" t="str">
        <f>IFERROR(AVERAGE(INDEX('R1'!$D$3:$M$27,$B54,IF($L54="A",$F54,$F54+5)),INDEX('R2'!$D$3:$M$27,$B54,IF($L54="A",$F54,$F54+5)),INDEX('R3'!$D$3:$M$27,$B54,IF($L54="A",$F54,$F54+5))),"")</f>
        <v/>
      </c>
      <c r="N54" s="30" t="str">
        <f>IFERROR(AVERAGE(INDEX('R1'!$D$3:$M$27,$B54,IF($L54="A",$F54+5,$F54)),INDEX('R2'!$D$3:$M$27,$B54,IF($L54="A",$F54+5,$F54)),INDEX('R3'!$D$3:$M$27,$B54,IF($L54="A",$F54+5,$F54))),"")</f>
        <v/>
      </c>
      <c r="O54" s="29" t="str">
        <f t="shared" si="6"/>
        <v/>
      </c>
      <c r="P54" s="10" t="str">
        <f t="shared" si="7"/>
        <v/>
      </c>
      <c r="Q54" s="10" t="str">
        <f t="shared" si="8"/>
        <v/>
      </c>
      <c r="R54" s="10">
        <f t="shared" si="9"/>
        <v>1</v>
      </c>
    </row>
    <row r="55" spans="1:18" ht="26.4" x14ac:dyDescent="0.3">
      <c r="A55" s="17">
        <v>54</v>
      </c>
      <c r="B55" s="17">
        <v>11</v>
      </c>
      <c r="C55" s="17" t="s">
        <v>43</v>
      </c>
      <c r="D55" s="26" t="s">
        <v>24</v>
      </c>
      <c r="E55" s="26" t="s">
        <v>37</v>
      </c>
      <c r="F55" s="17">
        <v>4</v>
      </c>
      <c r="G55" s="17"/>
      <c r="H55" s="27"/>
      <c r="I55" s="28">
        <v>0.8</v>
      </c>
      <c r="J55" s="28">
        <v>0.4</v>
      </c>
      <c r="K55" s="29">
        <f t="shared" si="5"/>
        <v>-0.4</v>
      </c>
      <c r="L55" s="12" t="str">
        <f>VLOOKUP(TEXT(B55,"00"),'Blinding key'!$A$2:$G$26,7,FALSE())</f>
        <v>A</v>
      </c>
      <c r="M55" s="30" t="str">
        <f>IFERROR(AVERAGE(INDEX('R1'!$D$3:$M$27,$B55,IF($L55="A",$F55,$F55+5)),INDEX('R2'!$D$3:$M$27,$B55,IF($L55="A",$F55,$F55+5)),INDEX('R3'!$D$3:$M$27,$B55,IF($L55="A",$F55,$F55+5))),"")</f>
        <v/>
      </c>
      <c r="N55" s="30" t="str">
        <f>IFERROR(AVERAGE(INDEX('R1'!$D$3:$M$27,$B55,IF($L55="A",$F55+5,$F55)),INDEX('R2'!$D$3:$M$27,$B55,IF($L55="A",$F55+5,$F55)),INDEX('R3'!$D$3:$M$27,$B55,IF($L55="A",$F55+5,$F55))),"")</f>
        <v/>
      </c>
      <c r="O55" s="29" t="str">
        <f t="shared" si="6"/>
        <v/>
      </c>
      <c r="P55" s="10" t="str">
        <f t="shared" si="7"/>
        <v/>
      </c>
      <c r="Q55" s="10" t="str">
        <f t="shared" si="8"/>
        <v/>
      </c>
      <c r="R55" s="10" t="str">
        <f t="shared" si="9"/>
        <v/>
      </c>
    </row>
    <row r="56" spans="1:18" ht="26.4" x14ac:dyDescent="0.3">
      <c r="A56" s="17">
        <v>55</v>
      </c>
      <c r="B56" s="17">
        <v>11</v>
      </c>
      <c r="C56" s="17" t="s">
        <v>43</v>
      </c>
      <c r="D56" s="26" t="s">
        <v>24</v>
      </c>
      <c r="E56" s="26" t="s">
        <v>103</v>
      </c>
      <c r="F56" s="17">
        <v>5</v>
      </c>
      <c r="G56" s="17"/>
      <c r="H56" s="27"/>
      <c r="I56" s="28">
        <v>0.2</v>
      </c>
      <c r="J56" s="28">
        <v>0.3</v>
      </c>
      <c r="K56" s="29">
        <f t="shared" si="5"/>
        <v>9.9999999999999978E-2</v>
      </c>
      <c r="L56" s="12" t="str">
        <f>VLOOKUP(TEXT(B56,"00"),'Blinding key'!$A$2:$G$26,7,FALSE())</f>
        <v>A</v>
      </c>
      <c r="M56" s="30" t="str">
        <f>IFERROR(AVERAGE(INDEX('R1'!$D$3:$M$27,$B56,IF($L56="A",$F56,$F56+5)),INDEX('R2'!$D$3:$M$27,$B56,IF($L56="A",$F56,$F56+5)),INDEX('R3'!$D$3:$M$27,$B56,IF($L56="A",$F56,$F56+5))),"")</f>
        <v/>
      </c>
      <c r="N56" s="30" t="str">
        <f>IFERROR(AVERAGE(INDEX('R1'!$D$3:$M$27,$B56,IF($L56="A",$F56+5,$F56)),INDEX('R2'!$D$3:$M$27,$B56,IF($L56="A",$F56+5,$F56)),INDEX('R3'!$D$3:$M$27,$B56,IF($L56="A",$F56+5,$F56))),"")</f>
        <v/>
      </c>
      <c r="O56" s="29" t="str">
        <f t="shared" si="6"/>
        <v/>
      </c>
      <c r="P56" s="10" t="str">
        <f t="shared" si="7"/>
        <v/>
      </c>
      <c r="Q56" s="10" t="str">
        <f t="shared" si="8"/>
        <v/>
      </c>
      <c r="R56" s="10" t="str">
        <f t="shared" si="9"/>
        <v/>
      </c>
    </row>
    <row r="57" spans="1:18" x14ac:dyDescent="0.3">
      <c r="A57" s="23">
        <v>56</v>
      </c>
      <c r="B57" s="23">
        <v>12</v>
      </c>
      <c r="C57" s="23" t="s">
        <v>45</v>
      </c>
      <c r="D57" s="32" t="s">
        <v>35</v>
      </c>
      <c r="E57" s="32" t="s">
        <v>74</v>
      </c>
      <c r="F57" s="23">
        <v>1</v>
      </c>
      <c r="G57" s="23"/>
      <c r="H57" s="33"/>
      <c r="I57" s="28">
        <v>0.7</v>
      </c>
      <c r="J57" s="28">
        <v>0.6</v>
      </c>
      <c r="K57" s="29">
        <f t="shared" si="5"/>
        <v>-9.9999999999999978E-2</v>
      </c>
      <c r="L57" s="12" t="str">
        <f>VLOOKUP(TEXT(B57,"00"),'Blinding key'!$A$2:$G$26,7,FALSE())</f>
        <v>B</v>
      </c>
      <c r="M57" s="30" t="str">
        <f>IFERROR(AVERAGE(INDEX('R1'!$D$3:$M$27,$B57,IF($L57="A",$F57,$F57+5)),INDEX('R2'!$D$3:$M$27,$B57,IF($L57="A",$F57,$F57+5)),INDEX('R3'!$D$3:$M$27,$B57,IF($L57="A",$F57,$F57+5))),"")</f>
        <v/>
      </c>
      <c r="N57" s="30" t="str">
        <f>IFERROR(AVERAGE(INDEX('R1'!$D$3:$M$27,$B57,IF($L57="A",$F57+5,$F57)),INDEX('R2'!$D$3:$M$27,$B57,IF($L57="A",$F57+5,$F57)),INDEX('R3'!$D$3:$M$27,$B57,IF($L57="A",$F57+5,$F57))),"")</f>
        <v/>
      </c>
      <c r="O57" s="29" t="str">
        <f t="shared" si="6"/>
        <v/>
      </c>
      <c r="P57" s="10" t="str">
        <f t="shared" si="7"/>
        <v/>
      </c>
      <c r="Q57" s="10" t="str">
        <f t="shared" si="8"/>
        <v/>
      </c>
      <c r="R57" s="10" t="str">
        <f t="shared" si="9"/>
        <v/>
      </c>
    </row>
    <row r="58" spans="1:18" x14ac:dyDescent="0.3">
      <c r="A58" s="23">
        <v>57</v>
      </c>
      <c r="B58" s="23">
        <v>12</v>
      </c>
      <c r="C58" s="23" t="s">
        <v>45</v>
      </c>
      <c r="D58" s="32" t="s">
        <v>35</v>
      </c>
      <c r="E58" s="32" t="s">
        <v>15</v>
      </c>
      <c r="F58" s="23">
        <v>2</v>
      </c>
      <c r="G58" s="23"/>
      <c r="H58" s="33"/>
      <c r="I58" s="28">
        <v>0.9</v>
      </c>
      <c r="J58" s="28">
        <v>0.8</v>
      </c>
      <c r="K58" s="29">
        <f t="shared" si="5"/>
        <v>-9.9999999999999978E-2</v>
      </c>
      <c r="L58" s="12" t="str">
        <f>VLOOKUP(TEXT(B58,"00"),'Blinding key'!$A$2:$G$26,7,FALSE())</f>
        <v>B</v>
      </c>
      <c r="M58" s="30" t="str">
        <f>IFERROR(AVERAGE(INDEX('R1'!$D$3:$M$27,$B58,IF($L58="A",$F58,$F58+5)),INDEX('R2'!$D$3:$M$27,$B58,IF($L58="A",$F58,$F58+5)),INDEX('R3'!$D$3:$M$27,$B58,IF($L58="A",$F58,$F58+5))),"")</f>
        <v/>
      </c>
      <c r="N58" s="30" t="str">
        <f>IFERROR(AVERAGE(INDEX('R1'!$D$3:$M$27,$B58,IF($L58="A",$F58+5,$F58)),INDEX('R2'!$D$3:$M$27,$B58,IF($L58="A",$F58+5,$F58)),INDEX('R3'!$D$3:$M$27,$B58,IF($L58="A",$F58+5,$F58))),"")</f>
        <v/>
      </c>
      <c r="O58" s="29" t="str">
        <f t="shared" si="6"/>
        <v/>
      </c>
      <c r="P58" s="10" t="str">
        <f t="shared" si="7"/>
        <v/>
      </c>
      <c r="Q58" s="10" t="str">
        <f t="shared" si="8"/>
        <v/>
      </c>
      <c r="R58" s="10" t="str">
        <f t="shared" si="9"/>
        <v/>
      </c>
    </row>
    <row r="59" spans="1:18" x14ac:dyDescent="0.3">
      <c r="A59" s="23">
        <v>58</v>
      </c>
      <c r="B59" s="23">
        <v>12</v>
      </c>
      <c r="C59" s="23" t="s">
        <v>45</v>
      </c>
      <c r="D59" s="32" t="s">
        <v>35</v>
      </c>
      <c r="E59" s="32" t="s">
        <v>26</v>
      </c>
      <c r="F59" s="23">
        <v>3</v>
      </c>
      <c r="G59" s="23"/>
      <c r="H59" s="33"/>
      <c r="I59" s="28">
        <v>0.1</v>
      </c>
      <c r="J59" s="28">
        <v>0.2</v>
      </c>
      <c r="K59" s="29">
        <f t="shared" si="5"/>
        <v>0.1</v>
      </c>
      <c r="L59" s="12" t="str">
        <f>VLOOKUP(TEXT(B59,"00"),'Blinding key'!$A$2:$G$26,7,FALSE())</f>
        <v>B</v>
      </c>
      <c r="M59" s="30" t="str">
        <f>IFERROR(AVERAGE(INDEX('R1'!$D$3:$M$27,$B59,IF($L59="A",$F59,$F59+5)),INDEX('R2'!$D$3:$M$27,$B59,IF($L59="A",$F59,$F59+5)),INDEX('R3'!$D$3:$M$27,$B59,IF($L59="A",$F59,$F59+5))),"")</f>
        <v/>
      </c>
      <c r="N59" s="30" t="str">
        <f>IFERROR(AVERAGE(INDEX('R1'!$D$3:$M$27,$B59,IF($L59="A",$F59+5,$F59)),INDEX('R2'!$D$3:$M$27,$B59,IF($L59="A",$F59+5,$F59)),INDEX('R3'!$D$3:$M$27,$B59,IF($L59="A",$F59+5,$F59))),"")</f>
        <v/>
      </c>
      <c r="O59" s="29" t="str">
        <f t="shared" si="6"/>
        <v/>
      </c>
      <c r="P59" s="10" t="str">
        <f t="shared" si="7"/>
        <v/>
      </c>
      <c r="Q59" s="10" t="str">
        <f t="shared" si="8"/>
        <v/>
      </c>
      <c r="R59" s="10" t="str">
        <f t="shared" si="9"/>
        <v/>
      </c>
    </row>
    <row r="60" spans="1:18" x14ac:dyDescent="0.3">
      <c r="A60" s="23">
        <v>59</v>
      </c>
      <c r="B60" s="23">
        <v>12</v>
      </c>
      <c r="C60" s="23" t="s">
        <v>45</v>
      </c>
      <c r="D60" s="32" t="s">
        <v>35</v>
      </c>
      <c r="E60" s="34" t="s">
        <v>37</v>
      </c>
      <c r="F60" s="23">
        <v>4</v>
      </c>
      <c r="G60" s="23" t="s">
        <v>102</v>
      </c>
      <c r="H60" s="33">
        <v>0.9</v>
      </c>
      <c r="I60" s="28">
        <v>0.8</v>
      </c>
      <c r="J60" s="28">
        <v>0.9</v>
      </c>
      <c r="K60" s="29">
        <f t="shared" si="5"/>
        <v>9.9999999999999978E-2</v>
      </c>
      <c r="L60" s="12" t="str">
        <f>VLOOKUP(TEXT(B60,"00"),'Blinding key'!$A$2:$G$26,7,FALSE())</f>
        <v>B</v>
      </c>
      <c r="M60" s="30" t="str">
        <f>IFERROR(AVERAGE(INDEX('R1'!$D$3:$M$27,$B60,IF($L60="A",$F60,$F60+5)),INDEX('R2'!$D$3:$M$27,$B60,IF($L60="A",$F60,$F60+5)),INDEX('R3'!$D$3:$M$27,$B60,IF($L60="A",$F60,$F60+5))),"")</f>
        <v/>
      </c>
      <c r="N60" s="30" t="str">
        <f>IFERROR(AVERAGE(INDEX('R1'!$D$3:$M$27,$B60,IF($L60="A",$F60+5,$F60)),INDEX('R2'!$D$3:$M$27,$B60,IF($L60="A",$F60+5,$F60)),INDEX('R3'!$D$3:$M$27,$B60,IF($L60="A",$F60+5,$F60))),"")</f>
        <v/>
      </c>
      <c r="O60" s="29" t="str">
        <f t="shared" si="6"/>
        <v/>
      </c>
      <c r="P60" s="10" t="str">
        <f t="shared" si="7"/>
        <v/>
      </c>
      <c r="Q60" s="10" t="str">
        <f t="shared" si="8"/>
        <v/>
      </c>
      <c r="R60" s="10">
        <f t="shared" si="9"/>
        <v>1</v>
      </c>
    </row>
    <row r="61" spans="1:18" x14ac:dyDescent="0.3">
      <c r="A61" s="23">
        <v>60</v>
      </c>
      <c r="B61" s="23">
        <v>12</v>
      </c>
      <c r="C61" s="23" t="s">
        <v>45</v>
      </c>
      <c r="D61" s="32" t="s">
        <v>35</v>
      </c>
      <c r="E61" s="32" t="s">
        <v>103</v>
      </c>
      <c r="F61" s="23">
        <v>5</v>
      </c>
      <c r="G61" s="23"/>
      <c r="H61" s="33"/>
      <c r="I61" s="28">
        <v>0.6</v>
      </c>
      <c r="J61" s="28">
        <v>0.7</v>
      </c>
      <c r="K61" s="29">
        <f t="shared" si="5"/>
        <v>9.9999999999999978E-2</v>
      </c>
      <c r="L61" s="12" t="str">
        <f>VLOOKUP(TEXT(B61,"00"),'Blinding key'!$A$2:$G$26,7,FALSE())</f>
        <v>B</v>
      </c>
      <c r="M61" s="30" t="str">
        <f>IFERROR(AVERAGE(INDEX('R1'!$D$3:$M$27,$B61,IF($L61="A",$F61,$F61+5)),INDEX('R2'!$D$3:$M$27,$B61,IF($L61="A",$F61,$F61+5)),INDEX('R3'!$D$3:$M$27,$B61,IF($L61="A",$F61,$F61+5))),"")</f>
        <v/>
      </c>
      <c r="N61" s="30" t="str">
        <f>IFERROR(AVERAGE(INDEX('R1'!$D$3:$M$27,$B61,IF($L61="A",$F61+5,$F61)),INDEX('R2'!$D$3:$M$27,$B61,IF($L61="A",$F61+5,$F61)),INDEX('R3'!$D$3:$M$27,$B61,IF($L61="A",$F61+5,$F61))),"")</f>
        <v/>
      </c>
      <c r="O61" s="29" t="str">
        <f t="shared" si="6"/>
        <v/>
      </c>
      <c r="P61" s="10" t="str">
        <f t="shared" si="7"/>
        <v/>
      </c>
      <c r="Q61" s="10" t="str">
        <f t="shared" si="8"/>
        <v/>
      </c>
      <c r="R61" s="10" t="str">
        <f t="shared" si="9"/>
        <v/>
      </c>
    </row>
    <row r="62" spans="1:18" x14ac:dyDescent="0.3">
      <c r="A62" s="17">
        <v>61</v>
      </c>
      <c r="B62" s="17">
        <v>13</v>
      </c>
      <c r="C62" s="17" t="s">
        <v>47</v>
      </c>
      <c r="D62" s="26" t="s">
        <v>35</v>
      </c>
      <c r="E62" s="26" t="s">
        <v>74</v>
      </c>
      <c r="F62" s="17">
        <v>1</v>
      </c>
      <c r="G62" s="17"/>
      <c r="H62" s="27"/>
      <c r="I62" s="28">
        <v>0.3</v>
      </c>
      <c r="J62" s="28">
        <v>0.6</v>
      </c>
      <c r="K62" s="29">
        <f t="shared" si="5"/>
        <v>0.3</v>
      </c>
      <c r="L62" s="12" t="str">
        <f>VLOOKUP(TEXT(B62,"00"),'Blinding key'!$A$2:$G$26,7,FALSE())</f>
        <v>A</v>
      </c>
      <c r="M62" s="30" t="str">
        <f>IFERROR(AVERAGE(INDEX('R1'!$D$3:$M$27,$B62,IF($L62="A",$F62,$F62+5)),INDEX('R2'!$D$3:$M$27,$B62,IF($L62="A",$F62,$F62+5)),INDEX('R3'!$D$3:$M$27,$B62,IF($L62="A",$F62,$F62+5))),"")</f>
        <v/>
      </c>
      <c r="N62" s="30" t="str">
        <f>IFERROR(AVERAGE(INDEX('R1'!$D$3:$M$27,$B62,IF($L62="A",$F62+5,$F62)),INDEX('R2'!$D$3:$M$27,$B62,IF($L62="A",$F62+5,$F62)),INDEX('R3'!$D$3:$M$27,$B62,IF($L62="A",$F62+5,$F62))),"")</f>
        <v/>
      </c>
      <c r="O62" s="29" t="str">
        <f t="shared" si="6"/>
        <v/>
      </c>
      <c r="P62" s="10" t="str">
        <f t="shared" si="7"/>
        <v/>
      </c>
      <c r="Q62" s="10" t="str">
        <f t="shared" si="8"/>
        <v/>
      </c>
      <c r="R62" s="10" t="str">
        <f t="shared" si="9"/>
        <v/>
      </c>
    </row>
    <row r="63" spans="1:18" x14ac:dyDescent="0.3">
      <c r="A63" s="17">
        <v>62</v>
      </c>
      <c r="B63" s="17">
        <v>13</v>
      </c>
      <c r="C63" s="17" t="s">
        <v>47</v>
      </c>
      <c r="D63" s="26" t="s">
        <v>35</v>
      </c>
      <c r="E63" s="26" t="s">
        <v>15</v>
      </c>
      <c r="F63" s="17">
        <v>2</v>
      </c>
      <c r="G63" s="17"/>
      <c r="H63" s="27"/>
      <c r="I63" s="28">
        <v>0.7</v>
      </c>
      <c r="J63" s="28">
        <v>0.8</v>
      </c>
      <c r="K63" s="29">
        <f t="shared" si="5"/>
        <v>0.10000000000000009</v>
      </c>
      <c r="L63" s="12" t="str">
        <f>VLOOKUP(TEXT(B63,"00"),'Blinding key'!$A$2:$G$26,7,FALSE())</f>
        <v>A</v>
      </c>
      <c r="M63" s="30" t="str">
        <f>IFERROR(AVERAGE(INDEX('R1'!$D$3:$M$27,$B63,IF($L63="A",$F63,$F63+5)),INDEX('R2'!$D$3:$M$27,$B63,IF($L63="A",$F63,$F63+5)),INDEX('R3'!$D$3:$M$27,$B63,IF($L63="A",$F63,$F63+5))),"")</f>
        <v/>
      </c>
      <c r="N63" s="30" t="str">
        <f>IFERROR(AVERAGE(INDEX('R1'!$D$3:$M$27,$B63,IF($L63="A",$F63+5,$F63)),INDEX('R2'!$D$3:$M$27,$B63,IF($L63="A",$F63+5,$F63)),INDEX('R3'!$D$3:$M$27,$B63,IF($L63="A",$F63+5,$F63))),"")</f>
        <v/>
      </c>
      <c r="O63" s="29" t="str">
        <f t="shared" si="6"/>
        <v/>
      </c>
      <c r="P63" s="10" t="str">
        <f t="shared" si="7"/>
        <v/>
      </c>
      <c r="Q63" s="10" t="str">
        <f t="shared" si="8"/>
        <v/>
      </c>
      <c r="R63" s="10" t="str">
        <f t="shared" si="9"/>
        <v/>
      </c>
    </row>
    <row r="64" spans="1:18" x14ac:dyDescent="0.3">
      <c r="A64" s="17">
        <v>63</v>
      </c>
      <c r="B64" s="17">
        <v>13</v>
      </c>
      <c r="C64" s="17" t="s">
        <v>47</v>
      </c>
      <c r="D64" s="26" t="s">
        <v>35</v>
      </c>
      <c r="E64" s="26" t="s">
        <v>26</v>
      </c>
      <c r="F64" s="17">
        <v>3</v>
      </c>
      <c r="G64" s="17"/>
      <c r="H64" s="27"/>
      <c r="I64" s="28">
        <v>0.2</v>
      </c>
      <c r="J64" s="28">
        <v>0.2</v>
      </c>
      <c r="K64" s="29">
        <f t="shared" si="5"/>
        <v>0</v>
      </c>
      <c r="L64" s="12" t="str">
        <f>VLOOKUP(TEXT(B64,"00"),'Blinding key'!$A$2:$G$26,7,FALSE())</f>
        <v>A</v>
      </c>
      <c r="M64" s="30" t="str">
        <f>IFERROR(AVERAGE(INDEX('R1'!$D$3:$M$27,$B64,IF($L64="A",$F64,$F64+5)),INDEX('R2'!$D$3:$M$27,$B64,IF($L64="A",$F64,$F64+5)),INDEX('R3'!$D$3:$M$27,$B64,IF($L64="A",$F64,$F64+5))),"")</f>
        <v/>
      </c>
      <c r="N64" s="30" t="str">
        <f>IFERROR(AVERAGE(INDEX('R1'!$D$3:$M$27,$B64,IF($L64="A",$F64+5,$F64)),INDEX('R2'!$D$3:$M$27,$B64,IF($L64="A",$F64+5,$F64)),INDEX('R3'!$D$3:$M$27,$B64,IF($L64="A",$F64+5,$F64))),"")</f>
        <v/>
      </c>
      <c r="O64" s="29" t="str">
        <f t="shared" si="6"/>
        <v/>
      </c>
      <c r="P64" s="10" t="str">
        <f t="shared" si="7"/>
        <v/>
      </c>
      <c r="Q64" s="10" t="str">
        <f t="shared" si="8"/>
        <v/>
      </c>
      <c r="R64" s="10" t="str">
        <f t="shared" si="9"/>
        <v/>
      </c>
    </row>
    <row r="65" spans="1:18" x14ac:dyDescent="0.3">
      <c r="A65" s="17">
        <v>64</v>
      </c>
      <c r="B65" s="17">
        <v>13</v>
      </c>
      <c r="C65" s="17" t="s">
        <v>47</v>
      </c>
      <c r="D65" s="26" t="s">
        <v>35</v>
      </c>
      <c r="E65" s="31" t="s">
        <v>37</v>
      </c>
      <c r="F65" s="17">
        <v>4</v>
      </c>
      <c r="G65" s="17" t="s">
        <v>102</v>
      </c>
      <c r="H65" s="27">
        <v>0.9</v>
      </c>
      <c r="I65" s="28">
        <v>0.5</v>
      </c>
      <c r="J65" s="28">
        <v>0.9</v>
      </c>
      <c r="K65" s="29">
        <f t="shared" si="5"/>
        <v>0.4</v>
      </c>
      <c r="L65" s="12" t="str">
        <f>VLOOKUP(TEXT(B65,"00"),'Blinding key'!$A$2:$G$26,7,FALSE())</f>
        <v>A</v>
      </c>
      <c r="M65" s="30" t="str">
        <f>IFERROR(AVERAGE(INDEX('R1'!$D$3:$M$27,$B65,IF($L65="A",$F65,$F65+5)),INDEX('R2'!$D$3:$M$27,$B65,IF($L65="A",$F65,$F65+5)),INDEX('R3'!$D$3:$M$27,$B65,IF($L65="A",$F65,$F65+5))),"")</f>
        <v/>
      </c>
      <c r="N65" s="30" t="str">
        <f>IFERROR(AVERAGE(INDEX('R1'!$D$3:$M$27,$B65,IF($L65="A",$F65+5,$F65)),INDEX('R2'!$D$3:$M$27,$B65,IF($L65="A",$F65+5,$F65)),INDEX('R3'!$D$3:$M$27,$B65,IF($L65="A",$F65+5,$F65))),"")</f>
        <v/>
      </c>
      <c r="O65" s="29" t="str">
        <f t="shared" si="6"/>
        <v/>
      </c>
      <c r="P65" s="10" t="str">
        <f t="shared" si="7"/>
        <v/>
      </c>
      <c r="Q65" s="10" t="str">
        <f t="shared" si="8"/>
        <v/>
      </c>
      <c r="R65" s="10">
        <f t="shared" si="9"/>
        <v>1</v>
      </c>
    </row>
    <row r="66" spans="1:18" x14ac:dyDescent="0.3">
      <c r="A66" s="17">
        <v>65</v>
      </c>
      <c r="B66" s="17">
        <v>13</v>
      </c>
      <c r="C66" s="17" t="s">
        <v>47</v>
      </c>
      <c r="D66" s="26" t="s">
        <v>35</v>
      </c>
      <c r="E66" s="26" t="s">
        <v>103</v>
      </c>
      <c r="F66" s="17">
        <v>5</v>
      </c>
      <c r="G66" s="17"/>
      <c r="H66" s="27"/>
      <c r="I66" s="28">
        <v>0.1</v>
      </c>
      <c r="J66" s="28">
        <v>0.4</v>
      </c>
      <c r="K66" s="29">
        <f t="shared" ref="K66:K97" si="10">J66-I66</f>
        <v>0.30000000000000004</v>
      </c>
      <c r="L66" s="12" t="str">
        <f>VLOOKUP(TEXT(B66,"00"),'Blinding key'!$A$2:$G$26,7,FALSE())</f>
        <v>A</v>
      </c>
      <c r="M66" s="30" t="str">
        <f>IFERROR(AVERAGE(INDEX('R1'!$D$3:$M$27,$B66,IF($L66="A",$F66,$F66+5)),INDEX('R2'!$D$3:$M$27,$B66,IF($L66="A",$F66,$F66+5)),INDEX('R3'!$D$3:$M$27,$B66,IF($L66="A",$F66,$F66+5))),"")</f>
        <v/>
      </c>
      <c r="N66" s="30" t="str">
        <f>IFERROR(AVERAGE(INDEX('R1'!$D$3:$M$27,$B66,IF($L66="A",$F66+5,$F66)),INDEX('R2'!$D$3:$M$27,$B66,IF($L66="A",$F66+5,$F66)),INDEX('R3'!$D$3:$M$27,$B66,IF($L66="A",$F66+5,$F66))),"")</f>
        <v/>
      </c>
      <c r="O66" s="29" t="str">
        <f t="shared" ref="O66:O97" si="11">IF(OR(M66="",N66=""),"",N66-M66)</f>
        <v/>
      </c>
      <c r="P66" s="10" t="str">
        <f t="shared" ref="P66:P97" si="12">IF(O66="","",IF(SIGN(ROUND(O66,6))=SIGN(ROUND(K66,6)),1,0))</f>
        <v/>
      </c>
      <c r="Q66" s="10" t="str">
        <f t="shared" ref="Q66:Q97" si="13">IF(OR(G66&lt;&gt;"Y",O66=""),"",IF(SIGN(ROUND(O66,6))=SIGN(ROUND(H66-I66,6)),1,0))</f>
        <v/>
      </c>
      <c r="R66" s="10" t="str">
        <f t="shared" ref="R66:R97" si="14">IF(G66&lt;&gt;"Y","",IF(SIGN(ROUND(K66,6))=SIGN(ROUND(H66-I66,6)),1,0))</f>
        <v/>
      </c>
    </row>
    <row r="67" spans="1:18" ht="26.4" x14ac:dyDescent="0.3">
      <c r="A67" s="23">
        <v>66</v>
      </c>
      <c r="B67" s="23">
        <v>14</v>
      </c>
      <c r="C67" s="23" t="s">
        <v>49</v>
      </c>
      <c r="D67" s="32" t="s">
        <v>24</v>
      </c>
      <c r="E67" s="32" t="s">
        <v>74</v>
      </c>
      <c r="F67" s="23">
        <v>1</v>
      </c>
      <c r="G67" s="23"/>
      <c r="H67" s="33"/>
      <c r="I67" s="28">
        <v>0.7</v>
      </c>
      <c r="J67" s="28">
        <v>0.7</v>
      </c>
      <c r="K67" s="29">
        <f t="shared" si="10"/>
        <v>0</v>
      </c>
      <c r="L67" s="12" t="str">
        <f>VLOOKUP(TEXT(B67,"00"),'Blinding key'!$A$2:$G$26,7,FALSE())</f>
        <v>B</v>
      </c>
      <c r="M67" s="30" t="str">
        <f>IFERROR(AVERAGE(INDEX('R1'!$D$3:$M$27,$B67,IF($L67="A",$F67,$F67+5)),INDEX('R2'!$D$3:$M$27,$B67,IF($L67="A",$F67,$F67+5)),INDEX('R3'!$D$3:$M$27,$B67,IF($L67="A",$F67,$F67+5))),"")</f>
        <v/>
      </c>
      <c r="N67" s="30" t="str">
        <f>IFERROR(AVERAGE(INDEX('R1'!$D$3:$M$27,$B67,IF($L67="A",$F67+5,$F67)),INDEX('R2'!$D$3:$M$27,$B67,IF($L67="A",$F67+5,$F67)),INDEX('R3'!$D$3:$M$27,$B67,IF($L67="A",$F67+5,$F67))),"")</f>
        <v/>
      </c>
      <c r="O67" s="29" t="str">
        <f t="shared" si="11"/>
        <v/>
      </c>
      <c r="P67" s="10" t="str">
        <f t="shared" si="12"/>
        <v/>
      </c>
      <c r="Q67" s="10" t="str">
        <f t="shared" si="13"/>
        <v/>
      </c>
      <c r="R67" s="10" t="str">
        <f t="shared" si="14"/>
        <v/>
      </c>
    </row>
    <row r="68" spans="1:18" ht="26.4" x14ac:dyDescent="0.3">
      <c r="A68" s="23">
        <v>67</v>
      </c>
      <c r="B68" s="23">
        <v>14</v>
      </c>
      <c r="C68" s="23" t="s">
        <v>49</v>
      </c>
      <c r="D68" s="32" t="s">
        <v>24</v>
      </c>
      <c r="E68" s="32" t="s">
        <v>15</v>
      </c>
      <c r="F68" s="23">
        <v>2</v>
      </c>
      <c r="G68" s="23"/>
      <c r="H68" s="33"/>
      <c r="I68" s="28">
        <v>0.8</v>
      </c>
      <c r="J68" s="28">
        <v>0.6</v>
      </c>
      <c r="K68" s="29">
        <f t="shared" si="10"/>
        <v>-0.20000000000000007</v>
      </c>
      <c r="L68" s="12" t="str">
        <f>VLOOKUP(TEXT(B68,"00"),'Blinding key'!$A$2:$G$26,7,FALSE())</f>
        <v>B</v>
      </c>
      <c r="M68" s="30" t="str">
        <f>IFERROR(AVERAGE(INDEX('R1'!$D$3:$M$27,$B68,IF($L68="A",$F68,$F68+5)),INDEX('R2'!$D$3:$M$27,$B68,IF($L68="A",$F68,$F68+5)),INDEX('R3'!$D$3:$M$27,$B68,IF($L68="A",$F68,$F68+5))),"")</f>
        <v/>
      </c>
      <c r="N68" s="30" t="str">
        <f>IFERROR(AVERAGE(INDEX('R1'!$D$3:$M$27,$B68,IF($L68="A",$F68+5,$F68)),INDEX('R2'!$D$3:$M$27,$B68,IF($L68="A",$F68+5,$F68)),INDEX('R3'!$D$3:$M$27,$B68,IF($L68="A",$F68+5,$F68))),"")</f>
        <v/>
      </c>
      <c r="O68" s="29" t="str">
        <f t="shared" si="11"/>
        <v/>
      </c>
      <c r="P68" s="10" t="str">
        <f t="shared" si="12"/>
        <v/>
      </c>
      <c r="Q68" s="10" t="str">
        <f t="shared" si="13"/>
        <v/>
      </c>
      <c r="R68" s="10" t="str">
        <f t="shared" si="14"/>
        <v/>
      </c>
    </row>
    <row r="69" spans="1:18" ht="26.4" x14ac:dyDescent="0.3">
      <c r="A69" s="23">
        <v>68</v>
      </c>
      <c r="B69" s="23">
        <v>14</v>
      </c>
      <c r="C69" s="23" t="s">
        <v>49</v>
      </c>
      <c r="D69" s="32" t="s">
        <v>24</v>
      </c>
      <c r="E69" s="34" t="s">
        <v>26</v>
      </c>
      <c r="F69" s="23">
        <v>3</v>
      </c>
      <c r="G69" s="23" t="s">
        <v>102</v>
      </c>
      <c r="H69" s="33">
        <v>0.1</v>
      </c>
      <c r="I69" s="28">
        <v>0.3</v>
      </c>
      <c r="J69" s="28">
        <v>0.3</v>
      </c>
      <c r="K69" s="29">
        <f t="shared" si="10"/>
        <v>0</v>
      </c>
      <c r="L69" s="12" t="str">
        <f>VLOOKUP(TEXT(B69,"00"),'Blinding key'!$A$2:$G$26,7,FALSE())</f>
        <v>B</v>
      </c>
      <c r="M69" s="30" t="str">
        <f>IFERROR(AVERAGE(INDEX('R1'!$D$3:$M$27,$B69,IF($L69="A",$F69,$F69+5)),INDEX('R2'!$D$3:$M$27,$B69,IF($L69="A",$F69,$F69+5)),INDEX('R3'!$D$3:$M$27,$B69,IF($L69="A",$F69,$F69+5))),"")</f>
        <v/>
      </c>
      <c r="N69" s="30" t="str">
        <f>IFERROR(AVERAGE(INDEX('R1'!$D$3:$M$27,$B69,IF($L69="A",$F69+5,$F69)),INDEX('R2'!$D$3:$M$27,$B69,IF($L69="A",$F69+5,$F69)),INDEX('R3'!$D$3:$M$27,$B69,IF($L69="A",$F69+5,$F69))),"")</f>
        <v/>
      </c>
      <c r="O69" s="29" t="str">
        <f t="shared" si="11"/>
        <v/>
      </c>
      <c r="P69" s="10" t="str">
        <f t="shared" si="12"/>
        <v/>
      </c>
      <c r="Q69" s="10" t="str">
        <f t="shared" si="13"/>
        <v/>
      </c>
      <c r="R69" s="10">
        <f t="shared" si="14"/>
        <v>0</v>
      </c>
    </row>
    <row r="70" spans="1:18" ht="26.4" x14ac:dyDescent="0.3">
      <c r="A70" s="23">
        <v>69</v>
      </c>
      <c r="B70" s="23">
        <v>14</v>
      </c>
      <c r="C70" s="23" t="s">
        <v>49</v>
      </c>
      <c r="D70" s="32" t="s">
        <v>24</v>
      </c>
      <c r="E70" s="32" t="s">
        <v>37</v>
      </c>
      <c r="F70" s="23">
        <v>4</v>
      </c>
      <c r="G70" s="23"/>
      <c r="H70" s="33"/>
      <c r="I70" s="28">
        <v>0.9</v>
      </c>
      <c r="J70" s="28">
        <v>0.8</v>
      </c>
      <c r="K70" s="29">
        <f t="shared" si="10"/>
        <v>-9.9999999999999978E-2</v>
      </c>
      <c r="L70" s="12" t="str">
        <f>VLOOKUP(TEXT(B70,"00"),'Blinding key'!$A$2:$G$26,7,FALSE())</f>
        <v>B</v>
      </c>
      <c r="M70" s="30" t="str">
        <f>IFERROR(AVERAGE(INDEX('R1'!$D$3:$M$27,$B70,IF($L70="A",$F70,$F70+5)),INDEX('R2'!$D$3:$M$27,$B70,IF($L70="A",$F70,$F70+5)),INDEX('R3'!$D$3:$M$27,$B70,IF($L70="A",$F70,$F70+5))),"")</f>
        <v/>
      </c>
      <c r="N70" s="30" t="str">
        <f>IFERROR(AVERAGE(INDEX('R1'!$D$3:$M$27,$B70,IF($L70="A",$F70+5,$F70)),INDEX('R2'!$D$3:$M$27,$B70,IF($L70="A",$F70+5,$F70)),INDEX('R3'!$D$3:$M$27,$B70,IF($L70="A",$F70+5,$F70))),"")</f>
        <v/>
      </c>
      <c r="O70" s="29" t="str">
        <f t="shared" si="11"/>
        <v/>
      </c>
      <c r="P70" s="10" t="str">
        <f t="shared" si="12"/>
        <v/>
      </c>
      <c r="Q70" s="10" t="str">
        <f t="shared" si="13"/>
        <v/>
      </c>
      <c r="R70" s="10" t="str">
        <f t="shared" si="14"/>
        <v/>
      </c>
    </row>
    <row r="71" spans="1:18" ht="26.4" x14ac:dyDescent="0.3">
      <c r="A71" s="23">
        <v>70</v>
      </c>
      <c r="B71" s="23">
        <v>14</v>
      </c>
      <c r="C71" s="23" t="s">
        <v>49</v>
      </c>
      <c r="D71" s="32" t="s">
        <v>24</v>
      </c>
      <c r="E71" s="32" t="s">
        <v>103</v>
      </c>
      <c r="F71" s="23">
        <v>5</v>
      </c>
      <c r="G71" s="23"/>
      <c r="H71" s="33"/>
      <c r="I71" s="28">
        <v>0.5</v>
      </c>
      <c r="J71" s="28">
        <v>0.5</v>
      </c>
      <c r="K71" s="29">
        <f t="shared" si="10"/>
        <v>0</v>
      </c>
      <c r="L71" s="12" t="str">
        <f>VLOOKUP(TEXT(B71,"00"),'Blinding key'!$A$2:$G$26,7,FALSE())</f>
        <v>B</v>
      </c>
      <c r="M71" s="30" t="str">
        <f>IFERROR(AVERAGE(INDEX('R1'!$D$3:$M$27,$B71,IF($L71="A",$F71,$F71+5)),INDEX('R2'!$D$3:$M$27,$B71,IF($L71="A",$F71,$F71+5)),INDEX('R3'!$D$3:$M$27,$B71,IF($L71="A",$F71,$F71+5))),"")</f>
        <v/>
      </c>
      <c r="N71" s="30" t="str">
        <f>IFERROR(AVERAGE(INDEX('R1'!$D$3:$M$27,$B71,IF($L71="A",$F71+5,$F71)),INDEX('R2'!$D$3:$M$27,$B71,IF($L71="A",$F71+5,$F71)),INDEX('R3'!$D$3:$M$27,$B71,IF($L71="A",$F71+5,$F71))),"")</f>
        <v/>
      </c>
      <c r="O71" s="29" t="str">
        <f t="shared" si="11"/>
        <v/>
      </c>
      <c r="P71" s="10" t="str">
        <f t="shared" si="12"/>
        <v/>
      </c>
      <c r="Q71" s="10" t="str">
        <f t="shared" si="13"/>
        <v/>
      </c>
      <c r="R71" s="10" t="str">
        <f t="shared" si="14"/>
        <v/>
      </c>
    </row>
    <row r="72" spans="1:18" x14ac:dyDescent="0.3">
      <c r="A72" s="17">
        <v>71</v>
      </c>
      <c r="B72" s="17">
        <v>15</v>
      </c>
      <c r="C72" s="17" t="s">
        <v>51</v>
      </c>
      <c r="D72" s="26" t="s">
        <v>13</v>
      </c>
      <c r="E72" s="26" t="s">
        <v>74</v>
      </c>
      <c r="F72" s="17">
        <v>1</v>
      </c>
      <c r="G72" s="17"/>
      <c r="H72" s="27"/>
      <c r="I72" s="28">
        <v>0.7</v>
      </c>
      <c r="J72" s="28">
        <v>0.7</v>
      </c>
      <c r="K72" s="29">
        <f t="shared" si="10"/>
        <v>0</v>
      </c>
      <c r="L72" s="12" t="str">
        <f>VLOOKUP(TEXT(B72,"00"),'Blinding key'!$A$2:$G$26,7,FALSE())</f>
        <v>B</v>
      </c>
      <c r="M72" s="30" t="str">
        <f>IFERROR(AVERAGE(INDEX('R1'!$D$3:$M$27,$B72,IF($L72="A",$F72,$F72+5)),INDEX('R2'!$D$3:$M$27,$B72,IF($L72="A",$F72,$F72+5)),INDEX('R3'!$D$3:$M$27,$B72,IF($L72="A",$F72,$F72+5))),"")</f>
        <v/>
      </c>
      <c r="N72" s="30" t="str">
        <f>IFERROR(AVERAGE(INDEX('R1'!$D$3:$M$27,$B72,IF($L72="A",$F72+5,$F72)),INDEX('R2'!$D$3:$M$27,$B72,IF($L72="A",$F72+5,$F72)),INDEX('R3'!$D$3:$M$27,$B72,IF($L72="A",$F72+5,$F72))),"")</f>
        <v/>
      </c>
      <c r="O72" s="29" t="str">
        <f t="shared" si="11"/>
        <v/>
      </c>
      <c r="P72" s="10" t="str">
        <f t="shared" si="12"/>
        <v/>
      </c>
      <c r="Q72" s="10" t="str">
        <f t="shared" si="13"/>
        <v/>
      </c>
      <c r="R72" s="10" t="str">
        <f t="shared" si="14"/>
        <v/>
      </c>
    </row>
    <row r="73" spans="1:18" x14ac:dyDescent="0.3">
      <c r="A73" s="17">
        <v>72</v>
      </c>
      <c r="B73" s="17">
        <v>15</v>
      </c>
      <c r="C73" s="17" t="s">
        <v>51</v>
      </c>
      <c r="D73" s="26" t="s">
        <v>13</v>
      </c>
      <c r="E73" s="31" t="s">
        <v>15</v>
      </c>
      <c r="F73" s="17">
        <v>2</v>
      </c>
      <c r="G73" s="17" t="s">
        <v>102</v>
      </c>
      <c r="H73" s="27">
        <v>0.4</v>
      </c>
      <c r="I73" s="28">
        <v>0.2</v>
      </c>
      <c r="J73" s="28">
        <v>0.4</v>
      </c>
      <c r="K73" s="29">
        <f t="shared" si="10"/>
        <v>0.2</v>
      </c>
      <c r="L73" s="12" t="str">
        <f>VLOOKUP(TEXT(B73,"00"),'Blinding key'!$A$2:$G$26,7,FALSE())</f>
        <v>B</v>
      </c>
      <c r="M73" s="30" t="str">
        <f>IFERROR(AVERAGE(INDEX('R1'!$D$3:$M$27,$B73,IF($L73="A",$F73,$F73+5)),INDEX('R2'!$D$3:$M$27,$B73,IF($L73="A",$F73,$F73+5)),INDEX('R3'!$D$3:$M$27,$B73,IF($L73="A",$F73,$F73+5))),"")</f>
        <v/>
      </c>
      <c r="N73" s="30" t="str">
        <f>IFERROR(AVERAGE(INDEX('R1'!$D$3:$M$27,$B73,IF($L73="A",$F73+5,$F73)),INDEX('R2'!$D$3:$M$27,$B73,IF($L73="A",$F73+5,$F73)),INDEX('R3'!$D$3:$M$27,$B73,IF($L73="A",$F73+5,$F73))),"")</f>
        <v/>
      </c>
      <c r="O73" s="29" t="str">
        <f t="shared" si="11"/>
        <v/>
      </c>
      <c r="P73" s="10" t="str">
        <f t="shared" si="12"/>
        <v/>
      </c>
      <c r="Q73" s="10" t="str">
        <f t="shared" si="13"/>
        <v/>
      </c>
      <c r="R73" s="10">
        <f t="shared" si="14"/>
        <v>1</v>
      </c>
    </row>
    <row r="74" spans="1:18" x14ac:dyDescent="0.3">
      <c r="A74" s="17">
        <v>73</v>
      </c>
      <c r="B74" s="17">
        <v>15</v>
      </c>
      <c r="C74" s="17" t="s">
        <v>51</v>
      </c>
      <c r="D74" s="26" t="s">
        <v>13</v>
      </c>
      <c r="E74" s="26" t="s">
        <v>26</v>
      </c>
      <c r="F74" s="17">
        <v>3</v>
      </c>
      <c r="G74" s="17"/>
      <c r="H74" s="27"/>
      <c r="I74" s="28">
        <v>0.8</v>
      </c>
      <c r="J74" s="28">
        <v>0.6</v>
      </c>
      <c r="K74" s="29">
        <f t="shared" si="10"/>
        <v>-0.20000000000000007</v>
      </c>
      <c r="L74" s="12" t="str">
        <f>VLOOKUP(TEXT(B74,"00"),'Blinding key'!$A$2:$G$26,7,FALSE())</f>
        <v>B</v>
      </c>
      <c r="M74" s="30" t="str">
        <f>IFERROR(AVERAGE(INDEX('R1'!$D$3:$M$27,$B74,IF($L74="A",$F74,$F74+5)),INDEX('R2'!$D$3:$M$27,$B74,IF($L74="A",$F74,$F74+5)),INDEX('R3'!$D$3:$M$27,$B74,IF($L74="A",$F74,$F74+5))),"")</f>
        <v/>
      </c>
      <c r="N74" s="30" t="str">
        <f>IFERROR(AVERAGE(INDEX('R1'!$D$3:$M$27,$B74,IF($L74="A",$F74+5,$F74)),INDEX('R2'!$D$3:$M$27,$B74,IF($L74="A",$F74+5,$F74)),INDEX('R3'!$D$3:$M$27,$B74,IF($L74="A",$F74+5,$F74))),"")</f>
        <v/>
      </c>
      <c r="O74" s="29" t="str">
        <f t="shared" si="11"/>
        <v/>
      </c>
      <c r="P74" s="10" t="str">
        <f t="shared" si="12"/>
        <v/>
      </c>
      <c r="Q74" s="10" t="str">
        <f t="shared" si="13"/>
        <v/>
      </c>
      <c r="R74" s="10" t="str">
        <f t="shared" si="14"/>
        <v/>
      </c>
    </row>
    <row r="75" spans="1:18" x14ac:dyDescent="0.3">
      <c r="A75" s="17">
        <v>74</v>
      </c>
      <c r="B75" s="17">
        <v>15</v>
      </c>
      <c r="C75" s="17" t="s">
        <v>51</v>
      </c>
      <c r="D75" s="26" t="s">
        <v>13</v>
      </c>
      <c r="E75" s="26" t="s">
        <v>37</v>
      </c>
      <c r="F75" s="17">
        <v>4</v>
      </c>
      <c r="G75" s="17"/>
      <c r="H75" s="27"/>
      <c r="I75" s="28">
        <v>0.3</v>
      </c>
      <c r="J75" s="28">
        <v>0.3</v>
      </c>
      <c r="K75" s="29">
        <f t="shared" si="10"/>
        <v>0</v>
      </c>
      <c r="L75" s="12" t="str">
        <f>VLOOKUP(TEXT(B75,"00"),'Blinding key'!$A$2:$G$26,7,FALSE())</f>
        <v>B</v>
      </c>
      <c r="M75" s="30" t="str">
        <f>IFERROR(AVERAGE(INDEX('R1'!$D$3:$M$27,$B75,IF($L75="A",$F75,$F75+5)),INDEX('R2'!$D$3:$M$27,$B75,IF($L75="A",$F75,$F75+5)),INDEX('R3'!$D$3:$M$27,$B75,IF($L75="A",$F75,$F75+5))),"")</f>
        <v/>
      </c>
      <c r="N75" s="30" t="str">
        <f>IFERROR(AVERAGE(INDEX('R1'!$D$3:$M$27,$B75,IF($L75="A",$F75+5,$F75)),INDEX('R2'!$D$3:$M$27,$B75,IF($L75="A",$F75+5,$F75)),INDEX('R3'!$D$3:$M$27,$B75,IF($L75="A",$F75+5,$F75))),"")</f>
        <v/>
      </c>
      <c r="O75" s="29" t="str">
        <f t="shared" si="11"/>
        <v/>
      </c>
      <c r="P75" s="10" t="str">
        <f t="shared" si="12"/>
        <v/>
      </c>
      <c r="Q75" s="10" t="str">
        <f t="shared" si="13"/>
        <v/>
      </c>
      <c r="R75" s="10" t="str">
        <f t="shared" si="14"/>
        <v/>
      </c>
    </row>
    <row r="76" spans="1:18" x14ac:dyDescent="0.3">
      <c r="A76" s="17">
        <v>75</v>
      </c>
      <c r="B76" s="17">
        <v>15</v>
      </c>
      <c r="C76" s="17" t="s">
        <v>51</v>
      </c>
      <c r="D76" s="26" t="s">
        <v>13</v>
      </c>
      <c r="E76" s="26" t="s">
        <v>103</v>
      </c>
      <c r="F76" s="17">
        <v>5</v>
      </c>
      <c r="G76" s="17"/>
      <c r="H76" s="27"/>
      <c r="I76" s="28">
        <v>0.5</v>
      </c>
      <c r="J76" s="28">
        <v>0.5</v>
      </c>
      <c r="K76" s="29">
        <f t="shared" si="10"/>
        <v>0</v>
      </c>
      <c r="L76" s="12" t="str">
        <f>VLOOKUP(TEXT(B76,"00"),'Blinding key'!$A$2:$G$26,7,FALSE())</f>
        <v>B</v>
      </c>
      <c r="M76" s="30" t="str">
        <f>IFERROR(AVERAGE(INDEX('R1'!$D$3:$M$27,$B76,IF($L76="A",$F76,$F76+5)),INDEX('R2'!$D$3:$M$27,$B76,IF($L76="A",$F76,$F76+5)),INDEX('R3'!$D$3:$M$27,$B76,IF($L76="A",$F76,$F76+5))),"")</f>
        <v/>
      </c>
      <c r="N76" s="30" t="str">
        <f>IFERROR(AVERAGE(INDEX('R1'!$D$3:$M$27,$B76,IF($L76="A",$F76+5,$F76)),INDEX('R2'!$D$3:$M$27,$B76,IF($L76="A",$F76+5,$F76)),INDEX('R3'!$D$3:$M$27,$B76,IF($L76="A",$F76+5,$F76))),"")</f>
        <v/>
      </c>
      <c r="O76" s="29" t="str">
        <f t="shared" si="11"/>
        <v/>
      </c>
      <c r="P76" s="10" t="str">
        <f t="shared" si="12"/>
        <v/>
      </c>
      <c r="Q76" s="10" t="str">
        <f t="shared" si="13"/>
        <v/>
      </c>
      <c r="R76" s="10" t="str">
        <f t="shared" si="14"/>
        <v/>
      </c>
    </row>
    <row r="77" spans="1:18" x14ac:dyDescent="0.3">
      <c r="A77" s="23">
        <v>76</v>
      </c>
      <c r="B77" s="23">
        <v>16</v>
      </c>
      <c r="C77" s="23" t="s">
        <v>53</v>
      </c>
      <c r="D77" s="32" t="s">
        <v>13</v>
      </c>
      <c r="E77" s="32" t="s">
        <v>74</v>
      </c>
      <c r="F77" s="23">
        <v>1</v>
      </c>
      <c r="G77" s="23"/>
      <c r="H77" s="33"/>
      <c r="I77" s="28">
        <v>0.7</v>
      </c>
      <c r="J77" s="28">
        <v>0.7</v>
      </c>
      <c r="K77" s="29">
        <f t="shared" si="10"/>
        <v>0</v>
      </c>
      <c r="L77" s="12" t="str">
        <f>VLOOKUP(TEXT(B77,"00"),'Blinding key'!$A$2:$G$26,7,FALSE())</f>
        <v>B</v>
      </c>
      <c r="M77" s="30" t="str">
        <f>IFERROR(AVERAGE(INDEX('R1'!$D$3:$M$27,$B77,IF($L77="A",$F77,$F77+5)),INDEX('R2'!$D$3:$M$27,$B77,IF($L77="A",$F77,$F77+5)),INDEX('R3'!$D$3:$M$27,$B77,IF($L77="A",$F77,$F77+5))),"")</f>
        <v/>
      </c>
      <c r="N77" s="30" t="str">
        <f>IFERROR(AVERAGE(INDEX('R1'!$D$3:$M$27,$B77,IF($L77="A",$F77+5,$F77)),INDEX('R2'!$D$3:$M$27,$B77,IF($L77="A",$F77+5,$F77)),INDEX('R3'!$D$3:$M$27,$B77,IF($L77="A",$F77+5,$F77))),"")</f>
        <v/>
      </c>
      <c r="O77" s="29" t="str">
        <f t="shared" si="11"/>
        <v/>
      </c>
      <c r="P77" s="10" t="str">
        <f t="shared" si="12"/>
        <v/>
      </c>
      <c r="Q77" s="10" t="str">
        <f t="shared" si="13"/>
        <v/>
      </c>
      <c r="R77" s="10" t="str">
        <f t="shared" si="14"/>
        <v/>
      </c>
    </row>
    <row r="78" spans="1:18" x14ac:dyDescent="0.3">
      <c r="A78" s="23">
        <v>77</v>
      </c>
      <c r="B78" s="23">
        <v>16</v>
      </c>
      <c r="C78" s="23" t="s">
        <v>53</v>
      </c>
      <c r="D78" s="32" t="s">
        <v>13</v>
      </c>
      <c r="E78" s="34" t="s">
        <v>15</v>
      </c>
      <c r="F78" s="23">
        <v>2</v>
      </c>
      <c r="G78" s="23" t="s">
        <v>102</v>
      </c>
      <c r="H78" s="33">
        <v>0.4</v>
      </c>
      <c r="I78" s="28">
        <v>0.5</v>
      </c>
      <c r="J78" s="28">
        <v>0.1</v>
      </c>
      <c r="K78" s="29">
        <f t="shared" si="10"/>
        <v>-0.4</v>
      </c>
      <c r="L78" s="12" t="str">
        <f>VLOOKUP(TEXT(B78,"00"),'Blinding key'!$A$2:$G$26,7,FALSE())</f>
        <v>B</v>
      </c>
      <c r="M78" s="30" t="str">
        <f>IFERROR(AVERAGE(INDEX('R1'!$D$3:$M$27,$B78,IF($L78="A",$F78,$F78+5)),INDEX('R2'!$D$3:$M$27,$B78,IF($L78="A",$F78,$F78+5)),INDEX('R3'!$D$3:$M$27,$B78,IF($L78="A",$F78,$F78+5))),"")</f>
        <v/>
      </c>
      <c r="N78" s="30" t="str">
        <f>IFERROR(AVERAGE(INDEX('R1'!$D$3:$M$27,$B78,IF($L78="A",$F78+5,$F78)),INDEX('R2'!$D$3:$M$27,$B78,IF($L78="A",$F78+5,$F78)),INDEX('R3'!$D$3:$M$27,$B78,IF($L78="A",$F78+5,$F78))),"")</f>
        <v/>
      </c>
      <c r="O78" s="29" t="str">
        <f t="shared" si="11"/>
        <v/>
      </c>
      <c r="P78" s="10" t="str">
        <f t="shared" si="12"/>
        <v/>
      </c>
      <c r="Q78" s="10" t="str">
        <f t="shared" si="13"/>
        <v/>
      </c>
      <c r="R78" s="10">
        <f t="shared" si="14"/>
        <v>1</v>
      </c>
    </row>
    <row r="79" spans="1:18" x14ac:dyDescent="0.3">
      <c r="A79" s="23">
        <v>78</v>
      </c>
      <c r="B79" s="23">
        <v>16</v>
      </c>
      <c r="C79" s="23" t="s">
        <v>53</v>
      </c>
      <c r="D79" s="32" t="s">
        <v>13</v>
      </c>
      <c r="E79" s="32" t="s">
        <v>26</v>
      </c>
      <c r="F79" s="23">
        <v>3</v>
      </c>
      <c r="G79" s="23"/>
      <c r="H79" s="33"/>
      <c r="I79" s="28">
        <v>0.8</v>
      </c>
      <c r="J79" s="28">
        <v>0.9</v>
      </c>
      <c r="K79" s="29">
        <f t="shared" si="10"/>
        <v>9.9999999999999978E-2</v>
      </c>
      <c r="L79" s="12" t="str">
        <f>VLOOKUP(TEXT(B79,"00"),'Blinding key'!$A$2:$G$26,7,FALSE())</f>
        <v>B</v>
      </c>
      <c r="M79" s="30" t="str">
        <f>IFERROR(AVERAGE(INDEX('R1'!$D$3:$M$27,$B79,IF($L79="A",$F79,$F79+5)),INDEX('R2'!$D$3:$M$27,$B79,IF($L79="A",$F79,$F79+5)),INDEX('R3'!$D$3:$M$27,$B79,IF($L79="A",$F79,$F79+5))),"")</f>
        <v/>
      </c>
      <c r="N79" s="30" t="str">
        <f>IFERROR(AVERAGE(INDEX('R1'!$D$3:$M$27,$B79,IF($L79="A",$F79+5,$F79)),INDEX('R2'!$D$3:$M$27,$B79,IF($L79="A",$F79+5,$F79)),INDEX('R3'!$D$3:$M$27,$B79,IF($L79="A",$F79+5,$F79))),"")</f>
        <v/>
      </c>
      <c r="O79" s="29" t="str">
        <f t="shared" si="11"/>
        <v/>
      </c>
      <c r="P79" s="10" t="str">
        <f t="shared" si="12"/>
        <v/>
      </c>
      <c r="Q79" s="10" t="str">
        <f t="shared" si="13"/>
        <v/>
      </c>
      <c r="R79" s="10" t="str">
        <f t="shared" si="14"/>
        <v/>
      </c>
    </row>
    <row r="80" spans="1:18" x14ac:dyDescent="0.3">
      <c r="A80" s="23">
        <v>79</v>
      </c>
      <c r="B80" s="23">
        <v>16</v>
      </c>
      <c r="C80" s="23" t="s">
        <v>53</v>
      </c>
      <c r="D80" s="32" t="s">
        <v>13</v>
      </c>
      <c r="E80" s="32" t="s">
        <v>37</v>
      </c>
      <c r="F80" s="23">
        <v>4</v>
      </c>
      <c r="G80" s="23"/>
      <c r="H80" s="33"/>
      <c r="I80" s="28">
        <v>0.2</v>
      </c>
      <c r="J80" s="28">
        <v>0.2</v>
      </c>
      <c r="K80" s="29">
        <f t="shared" si="10"/>
        <v>0</v>
      </c>
      <c r="L80" s="12" t="str">
        <f>VLOOKUP(TEXT(B80,"00"),'Blinding key'!$A$2:$G$26,7,FALSE())</f>
        <v>B</v>
      </c>
      <c r="M80" s="30" t="str">
        <f>IFERROR(AVERAGE(INDEX('R1'!$D$3:$M$27,$B80,IF($L80="A",$F80,$F80+5)),INDEX('R2'!$D$3:$M$27,$B80,IF($L80="A",$F80,$F80+5)),INDEX('R3'!$D$3:$M$27,$B80,IF($L80="A",$F80,$F80+5))),"")</f>
        <v/>
      </c>
      <c r="N80" s="30" t="str">
        <f>IFERROR(AVERAGE(INDEX('R1'!$D$3:$M$27,$B80,IF($L80="A",$F80+5,$F80)),INDEX('R2'!$D$3:$M$27,$B80,IF($L80="A",$F80+5,$F80)),INDEX('R3'!$D$3:$M$27,$B80,IF($L80="A",$F80+5,$F80))),"")</f>
        <v/>
      </c>
      <c r="O80" s="29" t="str">
        <f t="shared" si="11"/>
        <v/>
      </c>
      <c r="P80" s="10" t="str">
        <f t="shared" si="12"/>
        <v/>
      </c>
      <c r="Q80" s="10" t="str">
        <f t="shared" si="13"/>
        <v/>
      </c>
      <c r="R80" s="10" t="str">
        <f t="shared" si="14"/>
        <v/>
      </c>
    </row>
    <row r="81" spans="1:18" x14ac:dyDescent="0.3">
      <c r="A81" s="23">
        <v>80</v>
      </c>
      <c r="B81" s="23">
        <v>16</v>
      </c>
      <c r="C81" s="23" t="s">
        <v>53</v>
      </c>
      <c r="D81" s="32" t="s">
        <v>13</v>
      </c>
      <c r="E81" s="32" t="s">
        <v>103</v>
      </c>
      <c r="F81" s="23">
        <v>5</v>
      </c>
      <c r="G81" s="23"/>
      <c r="H81" s="33"/>
      <c r="I81" s="28">
        <v>0.6</v>
      </c>
      <c r="J81" s="28">
        <v>0.5</v>
      </c>
      <c r="K81" s="29">
        <f t="shared" si="10"/>
        <v>-9.9999999999999978E-2</v>
      </c>
      <c r="L81" s="12" t="str">
        <f>VLOOKUP(TEXT(B81,"00"),'Blinding key'!$A$2:$G$26,7,FALSE())</f>
        <v>B</v>
      </c>
      <c r="M81" s="30" t="str">
        <f>IFERROR(AVERAGE(INDEX('R1'!$D$3:$M$27,$B81,IF($L81="A",$F81,$F81+5)),INDEX('R2'!$D$3:$M$27,$B81,IF($L81="A",$F81,$F81+5)),INDEX('R3'!$D$3:$M$27,$B81,IF($L81="A",$F81,$F81+5))),"")</f>
        <v/>
      </c>
      <c r="N81" s="30" t="str">
        <f>IFERROR(AVERAGE(INDEX('R1'!$D$3:$M$27,$B81,IF($L81="A",$F81+5,$F81)),INDEX('R2'!$D$3:$M$27,$B81,IF($L81="A",$F81+5,$F81)),INDEX('R3'!$D$3:$M$27,$B81,IF($L81="A",$F81+5,$F81))),"")</f>
        <v/>
      </c>
      <c r="O81" s="29" t="str">
        <f t="shared" si="11"/>
        <v/>
      </c>
      <c r="P81" s="10" t="str">
        <f t="shared" si="12"/>
        <v/>
      </c>
      <c r="Q81" s="10" t="str">
        <f t="shared" si="13"/>
        <v/>
      </c>
      <c r="R81" s="10" t="str">
        <f t="shared" si="14"/>
        <v/>
      </c>
    </row>
    <row r="82" spans="1:18" x14ac:dyDescent="0.3">
      <c r="A82" s="17">
        <v>81</v>
      </c>
      <c r="B82" s="17">
        <v>17</v>
      </c>
      <c r="C82" s="17" t="s">
        <v>55</v>
      </c>
      <c r="D82" s="26" t="s">
        <v>35</v>
      </c>
      <c r="E82" s="26" t="s">
        <v>74</v>
      </c>
      <c r="F82" s="17">
        <v>1</v>
      </c>
      <c r="G82" s="17"/>
      <c r="H82" s="27"/>
      <c r="I82" s="28">
        <v>0.3</v>
      </c>
      <c r="J82" s="28">
        <v>0.7</v>
      </c>
      <c r="K82" s="29">
        <f t="shared" si="10"/>
        <v>0.39999999999999997</v>
      </c>
      <c r="L82" s="12" t="str">
        <f>VLOOKUP(TEXT(B82,"00"),'Blinding key'!$A$2:$G$26,7,FALSE())</f>
        <v>A</v>
      </c>
      <c r="M82" s="30" t="str">
        <f>IFERROR(AVERAGE(INDEX('R1'!$D$3:$M$27,$B82,IF($L82="A",$F82,$F82+5)),INDEX('R2'!$D$3:$M$27,$B82,IF($L82="A",$F82,$F82+5)),INDEX('R3'!$D$3:$M$27,$B82,IF($L82="A",$F82,$F82+5))),"")</f>
        <v/>
      </c>
      <c r="N82" s="30" t="str">
        <f>IFERROR(AVERAGE(INDEX('R1'!$D$3:$M$27,$B82,IF($L82="A",$F82+5,$F82)),INDEX('R2'!$D$3:$M$27,$B82,IF($L82="A",$F82+5,$F82)),INDEX('R3'!$D$3:$M$27,$B82,IF($L82="A",$F82+5,$F82))),"")</f>
        <v/>
      </c>
      <c r="O82" s="29" t="str">
        <f t="shared" si="11"/>
        <v/>
      </c>
      <c r="P82" s="10" t="str">
        <f t="shared" si="12"/>
        <v/>
      </c>
      <c r="Q82" s="10" t="str">
        <f t="shared" si="13"/>
        <v/>
      </c>
      <c r="R82" s="10" t="str">
        <f t="shared" si="14"/>
        <v/>
      </c>
    </row>
    <row r="83" spans="1:18" x14ac:dyDescent="0.3">
      <c r="A83" s="17">
        <v>82</v>
      </c>
      <c r="B83" s="17">
        <v>17</v>
      </c>
      <c r="C83" s="17" t="s">
        <v>55</v>
      </c>
      <c r="D83" s="26" t="s">
        <v>35</v>
      </c>
      <c r="E83" s="26" t="s">
        <v>15</v>
      </c>
      <c r="F83" s="17">
        <v>2</v>
      </c>
      <c r="G83" s="17"/>
      <c r="H83" s="27"/>
      <c r="I83" s="28">
        <v>0.7</v>
      </c>
      <c r="J83" s="28">
        <v>0.8</v>
      </c>
      <c r="K83" s="29">
        <f t="shared" si="10"/>
        <v>0.10000000000000009</v>
      </c>
      <c r="L83" s="12" t="str">
        <f>VLOOKUP(TEXT(B83,"00"),'Blinding key'!$A$2:$G$26,7,FALSE())</f>
        <v>A</v>
      </c>
      <c r="M83" s="30" t="str">
        <f>IFERROR(AVERAGE(INDEX('R1'!$D$3:$M$27,$B83,IF($L83="A",$F83,$F83+5)),INDEX('R2'!$D$3:$M$27,$B83,IF($L83="A",$F83,$F83+5)),INDEX('R3'!$D$3:$M$27,$B83,IF($L83="A",$F83,$F83+5))),"")</f>
        <v/>
      </c>
      <c r="N83" s="30" t="str">
        <f>IFERROR(AVERAGE(INDEX('R1'!$D$3:$M$27,$B83,IF($L83="A",$F83+5,$F83)),INDEX('R2'!$D$3:$M$27,$B83,IF($L83="A",$F83+5,$F83)),INDEX('R3'!$D$3:$M$27,$B83,IF($L83="A",$F83+5,$F83))),"")</f>
        <v/>
      </c>
      <c r="O83" s="29" t="str">
        <f t="shared" si="11"/>
        <v/>
      </c>
      <c r="P83" s="10" t="str">
        <f t="shared" si="12"/>
        <v/>
      </c>
      <c r="Q83" s="10" t="str">
        <f t="shared" si="13"/>
        <v/>
      </c>
      <c r="R83" s="10" t="str">
        <f t="shared" si="14"/>
        <v/>
      </c>
    </row>
    <row r="84" spans="1:18" x14ac:dyDescent="0.3">
      <c r="A84" s="17">
        <v>83</v>
      </c>
      <c r="B84" s="17">
        <v>17</v>
      </c>
      <c r="C84" s="17" t="s">
        <v>55</v>
      </c>
      <c r="D84" s="26" t="s">
        <v>35</v>
      </c>
      <c r="E84" s="26" t="s">
        <v>26</v>
      </c>
      <c r="F84" s="17">
        <v>3</v>
      </c>
      <c r="G84" s="17"/>
      <c r="H84" s="27"/>
      <c r="I84" s="28">
        <v>0.2</v>
      </c>
      <c r="J84" s="28">
        <v>0.3</v>
      </c>
      <c r="K84" s="29">
        <f t="shared" si="10"/>
        <v>9.9999999999999978E-2</v>
      </c>
      <c r="L84" s="12" t="str">
        <f>VLOOKUP(TEXT(B84,"00"),'Blinding key'!$A$2:$G$26,7,FALSE())</f>
        <v>A</v>
      </c>
      <c r="M84" s="30" t="str">
        <f>IFERROR(AVERAGE(INDEX('R1'!$D$3:$M$27,$B84,IF($L84="A",$F84,$F84+5)),INDEX('R2'!$D$3:$M$27,$B84,IF($L84="A",$F84,$F84+5)),INDEX('R3'!$D$3:$M$27,$B84,IF($L84="A",$F84,$F84+5))),"")</f>
        <v/>
      </c>
      <c r="N84" s="30" t="str">
        <f>IFERROR(AVERAGE(INDEX('R1'!$D$3:$M$27,$B84,IF($L84="A",$F84+5,$F84)),INDEX('R2'!$D$3:$M$27,$B84,IF($L84="A",$F84+5,$F84)),INDEX('R3'!$D$3:$M$27,$B84,IF($L84="A",$F84+5,$F84))),"")</f>
        <v/>
      </c>
      <c r="O84" s="29" t="str">
        <f t="shared" si="11"/>
        <v/>
      </c>
      <c r="P84" s="10" t="str">
        <f t="shared" si="12"/>
        <v/>
      </c>
      <c r="Q84" s="10" t="str">
        <f t="shared" si="13"/>
        <v/>
      </c>
      <c r="R84" s="10" t="str">
        <f t="shared" si="14"/>
        <v/>
      </c>
    </row>
    <row r="85" spans="1:18" x14ac:dyDescent="0.3">
      <c r="A85" s="17">
        <v>84</v>
      </c>
      <c r="B85" s="17">
        <v>17</v>
      </c>
      <c r="C85" s="17" t="s">
        <v>55</v>
      </c>
      <c r="D85" s="26" t="s">
        <v>35</v>
      </c>
      <c r="E85" s="31" t="s">
        <v>37</v>
      </c>
      <c r="F85" s="17">
        <v>4</v>
      </c>
      <c r="G85" s="17" t="s">
        <v>102</v>
      </c>
      <c r="H85" s="27">
        <v>0.8</v>
      </c>
      <c r="I85" s="28">
        <v>0.5</v>
      </c>
      <c r="J85" s="28">
        <v>0.9</v>
      </c>
      <c r="K85" s="29">
        <f t="shared" si="10"/>
        <v>0.4</v>
      </c>
      <c r="L85" s="12" t="str">
        <f>VLOOKUP(TEXT(B85,"00"),'Blinding key'!$A$2:$G$26,7,FALSE())</f>
        <v>A</v>
      </c>
      <c r="M85" s="30" t="str">
        <f>IFERROR(AVERAGE(INDEX('R1'!$D$3:$M$27,$B85,IF($L85="A",$F85,$F85+5)),INDEX('R2'!$D$3:$M$27,$B85,IF($L85="A",$F85,$F85+5)),INDEX('R3'!$D$3:$M$27,$B85,IF($L85="A",$F85,$F85+5))),"")</f>
        <v/>
      </c>
      <c r="N85" s="30" t="str">
        <f>IFERROR(AVERAGE(INDEX('R1'!$D$3:$M$27,$B85,IF($L85="A",$F85+5,$F85)),INDEX('R2'!$D$3:$M$27,$B85,IF($L85="A",$F85+5,$F85)),INDEX('R3'!$D$3:$M$27,$B85,IF($L85="A",$F85+5,$F85))),"")</f>
        <v/>
      </c>
      <c r="O85" s="29" t="str">
        <f t="shared" si="11"/>
        <v/>
      </c>
      <c r="P85" s="10" t="str">
        <f t="shared" si="12"/>
        <v/>
      </c>
      <c r="Q85" s="10" t="str">
        <f t="shared" si="13"/>
        <v/>
      </c>
      <c r="R85" s="10">
        <f t="shared" si="14"/>
        <v>1</v>
      </c>
    </row>
    <row r="86" spans="1:18" x14ac:dyDescent="0.3">
      <c r="A86" s="17">
        <v>85</v>
      </c>
      <c r="B86" s="17">
        <v>17</v>
      </c>
      <c r="C86" s="17" t="s">
        <v>55</v>
      </c>
      <c r="D86" s="26" t="s">
        <v>35</v>
      </c>
      <c r="E86" s="26" t="s">
        <v>103</v>
      </c>
      <c r="F86" s="17">
        <v>5</v>
      </c>
      <c r="G86" s="17"/>
      <c r="H86" s="27"/>
      <c r="I86" s="28">
        <v>0.4</v>
      </c>
      <c r="J86" s="28">
        <v>0.5</v>
      </c>
      <c r="K86" s="29">
        <f t="shared" si="10"/>
        <v>9.9999999999999978E-2</v>
      </c>
      <c r="L86" s="12" t="str">
        <f>VLOOKUP(TEXT(B86,"00"),'Blinding key'!$A$2:$G$26,7,FALSE())</f>
        <v>A</v>
      </c>
      <c r="M86" s="30" t="str">
        <f>IFERROR(AVERAGE(INDEX('R1'!$D$3:$M$27,$B86,IF($L86="A",$F86,$F86+5)),INDEX('R2'!$D$3:$M$27,$B86,IF($L86="A",$F86,$F86+5)),INDEX('R3'!$D$3:$M$27,$B86,IF($L86="A",$F86,$F86+5))),"")</f>
        <v/>
      </c>
      <c r="N86" s="30" t="str">
        <f>IFERROR(AVERAGE(INDEX('R1'!$D$3:$M$27,$B86,IF($L86="A",$F86+5,$F86)),INDEX('R2'!$D$3:$M$27,$B86,IF($L86="A",$F86+5,$F86)),INDEX('R3'!$D$3:$M$27,$B86,IF($L86="A",$F86+5,$F86))),"")</f>
        <v/>
      </c>
      <c r="O86" s="29" t="str">
        <f t="shared" si="11"/>
        <v/>
      </c>
      <c r="P86" s="10" t="str">
        <f t="shared" si="12"/>
        <v/>
      </c>
      <c r="Q86" s="10" t="str">
        <f t="shared" si="13"/>
        <v/>
      </c>
      <c r="R86" s="10" t="str">
        <f t="shared" si="14"/>
        <v/>
      </c>
    </row>
    <row r="87" spans="1:18" ht="26.4" x14ac:dyDescent="0.3">
      <c r="A87" s="23">
        <v>86</v>
      </c>
      <c r="B87" s="23">
        <v>18</v>
      </c>
      <c r="C87" s="23" t="s">
        <v>57</v>
      </c>
      <c r="D87" s="32" t="s">
        <v>24</v>
      </c>
      <c r="E87" s="32" t="s">
        <v>74</v>
      </c>
      <c r="F87" s="23">
        <v>1</v>
      </c>
      <c r="G87" s="23"/>
      <c r="H87" s="33"/>
      <c r="I87" s="28">
        <v>0.3</v>
      </c>
      <c r="J87" s="28">
        <v>0.6</v>
      </c>
      <c r="K87" s="29">
        <f t="shared" si="10"/>
        <v>0.3</v>
      </c>
      <c r="L87" s="12" t="str">
        <f>VLOOKUP(TEXT(B87,"00"),'Blinding key'!$A$2:$G$26,7,FALSE())</f>
        <v>B</v>
      </c>
      <c r="M87" s="30" t="str">
        <f>IFERROR(AVERAGE(INDEX('R1'!$D$3:$M$27,$B87,IF($L87="A",$F87,$F87+5)),INDEX('R2'!$D$3:$M$27,$B87,IF($L87="A",$F87,$F87+5)),INDEX('R3'!$D$3:$M$27,$B87,IF($L87="A",$F87,$F87+5))),"")</f>
        <v/>
      </c>
      <c r="N87" s="30" t="str">
        <f>IFERROR(AVERAGE(INDEX('R1'!$D$3:$M$27,$B87,IF($L87="A",$F87+5,$F87)),INDEX('R2'!$D$3:$M$27,$B87,IF($L87="A",$F87+5,$F87)),INDEX('R3'!$D$3:$M$27,$B87,IF($L87="A",$F87+5,$F87))),"")</f>
        <v/>
      </c>
      <c r="O87" s="29" t="str">
        <f t="shared" si="11"/>
        <v/>
      </c>
      <c r="P87" s="10" t="str">
        <f t="shared" si="12"/>
        <v/>
      </c>
      <c r="Q87" s="10" t="str">
        <f t="shared" si="13"/>
        <v/>
      </c>
      <c r="R87" s="10" t="str">
        <f t="shared" si="14"/>
        <v/>
      </c>
    </row>
    <row r="88" spans="1:18" ht="26.4" x14ac:dyDescent="0.3">
      <c r="A88" s="23">
        <v>87</v>
      </c>
      <c r="B88" s="23">
        <v>18</v>
      </c>
      <c r="C88" s="23" t="s">
        <v>57</v>
      </c>
      <c r="D88" s="32" t="s">
        <v>24</v>
      </c>
      <c r="E88" s="32" t="s">
        <v>15</v>
      </c>
      <c r="F88" s="23">
        <v>2</v>
      </c>
      <c r="G88" s="23"/>
      <c r="H88" s="33"/>
      <c r="I88" s="28">
        <v>0.4</v>
      </c>
      <c r="J88" s="28">
        <v>0.4</v>
      </c>
      <c r="K88" s="29">
        <f t="shared" si="10"/>
        <v>0</v>
      </c>
      <c r="L88" s="12" t="str">
        <f>VLOOKUP(TEXT(B88,"00"),'Blinding key'!$A$2:$G$26,7,FALSE())</f>
        <v>B</v>
      </c>
      <c r="M88" s="30" t="str">
        <f>IFERROR(AVERAGE(INDEX('R1'!$D$3:$M$27,$B88,IF($L88="A",$F88,$F88+5)),INDEX('R2'!$D$3:$M$27,$B88,IF($L88="A",$F88,$F88+5)),INDEX('R3'!$D$3:$M$27,$B88,IF($L88="A",$F88,$F88+5))),"")</f>
        <v/>
      </c>
      <c r="N88" s="30" t="str">
        <f>IFERROR(AVERAGE(INDEX('R1'!$D$3:$M$27,$B88,IF($L88="A",$F88+5,$F88)),INDEX('R2'!$D$3:$M$27,$B88,IF($L88="A",$F88+5,$F88)),INDEX('R3'!$D$3:$M$27,$B88,IF($L88="A",$F88+5,$F88))),"")</f>
        <v/>
      </c>
      <c r="O88" s="29" t="str">
        <f t="shared" si="11"/>
        <v/>
      </c>
      <c r="P88" s="10" t="str">
        <f t="shared" si="12"/>
        <v/>
      </c>
      <c r="Q88" s="10" t="str">
        <f t="shared" si="13"/>
        <v/>
      </c>
      <c r="R88" s="10" t="str">
        <f t="shared" si="14"/>
        <v/>
      </c>
    </row>
    <row r="89" spans="1:18" ht="26.4" x14ac:dyDescent="0.3">
      <c r="A89" s="23">
        <v>88</v>
      </c>
      <c r="B89" s="23">
        <v>18</v>
      </c>
      <c r="C89" s="23" t="s">
        <v>57</v>
      </c>
      <c r="D89" s="32" t="s">
        <v>24</v>
      </c>
      <c r="E89" s="34" t="s">
        <v>26</v>
      </c>
      <c r="F89" s="23">
        <v>3</v>
      </c>
      <c r="G89" s="23" t="s">
        <v>102</v>
      </c>
      <c r="H89" s="33">
        <v>0.2</v>
      </c>
      <c r="I89" s="28">
        <v>0.2</v>
      </c>
      <c r="J89" s="28">
        <v>0.3</v>
      </c>
      <c r="K89" s="29">
        <f t="shared" si="10"/>
        <v>9.9999999999999978E-2</v>
      </c>
      <c r="L89" s="12" t="str">
        <f>VLOOKUP(TEXT(B89,"00"),'Blinding key'!$A$2:$G$26,7,FALSE())</f>
        <v>B</v>
      </c>
      <c r="M89" s="30" t="str">
        <f>IFERROR(AVERAGE(INDEX('R1'!$D$3:$M$27,$B89,IF($L89="A",$F89,$F89+5)),INDEX('R2'!$D$3:$M$27,$B89,IF($L89="A",$F89,$F89+5)),INDEX('R3'!$D$3:$M$27,$B89,IF($L89="A",$F89,$F89+5))),"")</f>
        <v/>
      </c>
      <c r="N89" s="30" t="str">
        <f>IFERROR(AVERAGE(INDEX('R1'!$D$3:$M$27,$B89,IF($L89="A",$F89+5,$F89)),INDEX('R2'!$D$3:$M$27,$B89,IF($L89="A",$F89+5,$F89)),INDEX('R3'!$D$3:$M$27,$B89,IF($L89="A",$F89+5,$F89))),"")</f>
        <v/>
      </c>
      <c r="O89" s="29" t="str">
        <f t="shared" si="11"/>
        <v/>
      </c>
      <c r="P89" s="10" t="str">
        <f t="shared" si="12"/>
        <v/>
      </c>
      <c r="Q89" s="10" t="str">
        <f t="shared" si="13"/>
        <v/>
      </c>
      <c r="R89" s="10">
        <f t="shared" si="14"/>
        <v>0</v>
      </c>
    </row>
    <row r="90" spans="1:18" ht="26.4" x14ac:dyDescent="0.3">
      <c r="A90" s="23">
        <v>89</v>
      </c>
      <c r="B90" s="23">
        <v>18</v>
      </c>
      <c r="C90" s="23" t="s">
        <v>57</v>
      </c>
      <c r="D90" s="32" t="s">
        <v>24</v>
      </c>
      <c r="E90" s="32" t="s">
        <v>37</v>
      </c>
      <c r="F90" s="23">
        <v>4</v>
      </c>
      <c r="G90" s="23"/>
      <c r="H90" s="33"/>
      <c r="I90" s="28">
        <v>0.5</v>
      </c>
      <c r="J90" s="28">
        <v>0.5</v>
      </c>
      <c r="K90" s="29">
        <f t="shared" si="10"/>
        <v>0</v>
      </c>
      <c r="L90" s="12" t="str">
        <f>VLOOKUP(TEXT(B90,"00"),'Blinding key'!$A$2:$G$26,7,FALSE())</f>
        <v>B</v>
      </c>
      <c r="M90" s="30" t="str">
        <f>IFERROR(AVERAGE(INDEX('R1'!$D$3:$M$27,$B90,IF($L90="A",$F90,$F90+5)),INDEX('R2'!$D$3:$M$27,$B90,IF($L90="A",$F90,$F90+5)),INDEX('R3'!$D$3:$M$27,$B90,IF($L90="A",$F90,$F90+5))),"")</f>
        <v/>
      </c>
      <c r="N90" s="30" t="str">
        <f>IFERROR(AVERAGE(INDEX('R1'!$D$3:$M$27,$B90,IF($L90="A",$F90+5,$F90)),INDEX('R2'!$D$3:$M$27,$B90,IF($L90="A",$F90+5,$F90)),INDEX('R3'!$D$3:$M$27,$B90,IF($L90="A",$F90+5,$F90))),"")</f>
        <v/>
      </c>
      <c r="O90" s="29" t="str">
        <f t="shared" si="11"/>
        <v/>
      </c>
      <c r="P90" s="10" t="str">
        <f t="shared" si="12"/>
        <v/>
      </c>
      <c r="Q90" s="10" t="str">
        <f t="shared" si="13"/>
        <v/>
      </c>
      <c r="R90" s="10" t="str">
        <f t="shared" si="14"/>
        <v/>
      </c>
    </row>
    <row r="91" spans="1:18" ht="26.4" x14ac:dyDescent="0.3">
      <c r="A91" s="23">
        <v>90</v>
      </c>
      <c r="B91" s="23">
        <v>18</v>
      </c>
      <c r="C91" s="23" t="s">
        <v>57</v>
      </c>
      <c r="D91" s="32" t="s">
        <v>24</v>
      </c>
      <c r="E91" s="32" t="s">
        <v>103</v>
      </c>
      <c r="F91" s="23">
        <v>5</v>
      </c>
      <c r="G91" s="23"/>
      <c r="H91" s="33"/>
      <c r="I91" s="28">
        <v>0.1</v>
      </c>
      <c r="J91" s="28">
        <v>0.2</v>
      </c>
      <c r="K91" s="29">
        <f t="shared" si="10"/>
        <v>0.1</v>
      </c>
      <c r="L91" s="12" t="str">
        <f>VLOOKUP(TEXT(B91,"00"),'Blinding key'!$A$2:$G$26,7,FALSE())</f>
        <v>B</v>
      </c>
      <c r="M91" s="30" t="str">
        <f>IFERROR(AVERAGE(INDEX('R1'!$D$3:$M$27,$B91,IF($L91="A",$F91,$F91+5)),INDEX('R2'!$D$3:$M$27,$B91,IF($L91="A",$F91,$F91+5)),INDEX('R3'!$D$3:$M$27,$B91,IF($L91="A",$F91,$F91+5))),"")</f>
        <v/>
      </c>
      <c r="N91" s="30" t="str">
        <f>IFERROR(AVERAGE(INDEX('R1'!$D$3:$M$27,$B91,IF($L91="A",$F91+5,$F91)),INDEX('R2'!$D$3:$M$27,$B91,IF($L91="A",$F91+5,$F91)),INDEX('R3'!$D$3:$M$27,$B91,IF($L91="A",$F91+5,$F91))),"")</f>
        <v/>
      </c>
      <c r="O91" s="29" t="str">
        <f t="shared" si="11"/>
        <v/>
      </c>
      <c r="P91" s="10" t="str">
        <f t="shared" si="12"/>
        <v/>
      </c>
      <c r="Q91" s="10" t="str">
        <f t="shared" si="13"/>
        <v/>
      </c>
      <c r="R91" s="10" t="str">
        <f t="shared" si="14"/>
        <v/>
      </c>
    </row>
    <row r="92" spans="1:18" ht="26.4" x14ac:dyDescent="0.3">
      <c r="A92" s="17">
        <v>91</v>
      </c>
      <c r="B92" s="17">
        <v>19</v>
      </c>
      <c r="C92" s="17" t="s">
        <v>59</v>
      </c>
      <c r="D92" s="26" t="s">
        <v>24</v>
      </c>
      <c r="E92" s="26" t="s">
        <v>74</v>
      </c>
      <c r="F92" s="17">
        <v>1</v>
      </c>
      <c r="G92" s="17"/>
      <c r="H92" s="27"/>
      <c r="I92" s="28">
        <v>0.7</v>
      </c>
      <c r="J92" s="28">
        <v>0.5</v>
      </c>
      <c r="K92" s="29">
        <f t="shared" si="10"/>
        <v>-0.19999999999999996</v>
      </c>
      <c r="L92" s="12" t="str">
        <f>VLOOKUP(TEXT(B92,"00"),'Blinding key'!$A$2:$G$26,7,FALSE())</f>
        <v>A</v>
      </c>
      <c r="M92" s="30" t="str">
        <f>IFERROR(AVERAGE(INDEX('R1'!$D$3:$M$27,$B92,IF($L92="A",$F92,$F92+5)),INDEX('R2'!$D$3:$M$27,$B92,IF($L92="A",$F92,$F92+5)),INDEX('R3'!$D$3:$M$27,$B92,IF($L92="A",$F92,$F92+5))),"")</f>
        <v/>
      </c>
      <c r="N92" s="30" t="str">
        <f>IFERROR(AVERAGE(INDEX('R1'!$D$3:$M$27,$B92,IF($L92="A",$F92+5,$F92)),INDEX('R2'!$D$3:$M$27,$B92,IF($L92="A",$F92+5,$F92)),INDEX('R3'!$D$3:$M$27,$B92,IF($L92="A",$F92+5,$F92))),"")</f>
        <v/>
      </c>
      <c r="O92" s="29" t="str">
        <f t="shared" si="11"/>
        <v/>
      </c>
      <c r="P92" s="10" t="str">
        <f t="shared" si="12"/>
        <v/>
      </c>
      <c r="Q92" s="10" t="str">
        <f t="shared" si="13"/>
        <v/>
      </c>
      <c r="R92" s="10" t="str">
        <f t="shared" si="14"/>
        <v/>
      </c>
    </row>
    <row r="93" spans="1:18" ht="26.4" x14ac:dyDescent="0.3">
      <c r="A93" s="17">
        <v>92</v>
      </c>
      <c r="B93" s="17">
        <v>19</v>
      </c>
      <c r="C93" s="17" t="s">
        <v>59</v>
      </c>
      <c r="D93" s="26" t="s">
        <v>24</v>
      </c>
      <c r="E93" s="26" t="s">
        <v>15</v>
      </c>
      <c r="F93" s="17">
        <v>2</v>
      </c>
      <c r="G93" s="17"/>
      <c r="H93" s="27"/>
      <c r="I93" s="28">
        <v>0.4</v>
      </c>
      <c r="J93" s="28">
        <v>0.4</v>
      </c>
      <c r="K93" s="29">
        <f t="shared" si="10"/>
        <v>0</v>
      </c>
      <c r="L93" s="12" t="str">
        <f>VLOOKUP(TEXT(B93,"00"),'Blinding key'!$A$2:$G$26,7,FALSE())</f>
        <v>A</v>
      </c>
      <c r="M93" s="30" t="str">
        <f>IFERROR(AVERAGE(INDEX('R1'!$D$3:$M$27,$B93,IF($L93="A",$F93,$F93+5)),INDEX('R2'!$D$3:$M$27,$B93,IF($L93="A",$F93,$F93+5)),INDEX('R3'!$D$3:$M$27,$B93,IF($L93="A",$F93,$F93+5))),"")</f>
        <v/>
      </c>
      <c r="N93" s="30" t="str">
        <f>IFERROR(AVERAGE(INDEX('R1'!$D$3:$M$27,$B93,IF($L93="A",$F93+5,$F93)),INDEX('R2'!$D$3:$M$27,$B93,IF($L93="A",$F93+5,$F93)),INDEX('R3'!$D$3:$M$27,$B93,IF($L93="A",$F93+5,$F93))),"")</f>
        <v/>
      </c>
      <c r="O93" s="29" t="str">
        <f t="shared" si="11"/>
        <v/>
      </c>
      <c r="P93" s="10" t="str">
        <f t="shared" si="12"/>
        <v/>
      </c>
      <c r="Q93" s="10" t="str">
        <f t="shared" si="13"/>
        <v/>
      </c>
      <c r="R93" s="10" t="str">
        <f t="shared" si="14"/>
        <v/>
      </c>
    </row>
    <row r="94" spans="1:18" ht="26.4" x14ac:dyDescent="0.3">
      <c r="A94" s="17">
        <v>93</v>
      </c>
      <c r="B94" s="17">
        <v>19</v>
      </c>
      <c r="C94" s="17" t="s">
        <v>59</v>
      </c>
      <c r="D94" s="26" t="s">
        <v>24</v>
      </c>
      <c r="E94" s="31" t="s">
        <v>26</v>
      </c>
      <c r="F94" s="17">
        <v>3</v>
      </c>
      <c r="G94" s="17" t="s">
        <v>102</v>
      </c>
      <c r="H94" s="27">
        <v>0.4</v>
      </c>
      <c r="I94" s="28">
        <v>0.6</v>
      </c>
      <c r="J94" s="28">
        <v>0.2</v>
      </c>
      <c r="K94" s="29">
        <f t="shared" si="10"/>
        <v>-0.39999999999999997</v>
      </c>
      <c r="L94" s="12" t="str">
        <f>VLOOKUP(TEXT(B94,"00"),'Blinding key'!$A$2:$G$26,7,FALSE())</f>
        <v>A</v>
      </c>
      <c r="M94" s="30" t="str">
        <f>IFERROR(AVERAGE(INDEX('R1'!$D$3:$M$27,$B94,IF($L94="A",$F94,$F94+5)),INDEX('R2'!$D$3:$M$27,$B94,IF($L94="A",$F94,$F94+5)),INDEX('R3'!$D$3:$M$27,$B94,IF($L94="A",$F94,$F94+5))),"")</f>
        <v/>
      </c>
      <c r="N94" s="30" t="str">
        <f>IFERROR(AVERAGE(INDEX('R1'!$D$3:$M$27,$B94,IF($L94="A",$F94+5,$F94)),INDEX('R2'!$D$3:$M$27,$B94,IF($L94="A",$F94+5,$F94)),INDEX('R3'!$D$3:$M$27,$B94,IF($L94="A",$F94+5,$F94))),"")</f>
        <v/>
      </c>
      <c r="O94" s="29" t="str">
        <f t="shared" si="11"/>
        <v/>
      </c>
      <c r="P94" s="10" t="str">
        <f t="shared" si="12"/>
        <v/>
      </c>
      <c r="Q94" s="10" t="str">
        <f t="shared" si="13"/>
        <v/>
      </c>
      <c r="R94" s="10">
        <f t="shared" si="14"/>
        <v>1</v>
      </c>
    </row>
    <row r="95" spans="1:18" ht="26.4" x14ac:dyDescent="0.3">
      <c r="A95" s="17">
        <v>94</v>
      </c>
      <c r="B95" s="17">
        <v>19</v>
      </c>
      <c r="C95" s="17" t="s">
        <v>59</v>
      </c>
      <c r="D95" s="26" t="s">
        <v>24</v>
      </c>
      <c r="E95" s="26" t="s">
        <v>37</v>
      </c>
      <c r="F95" s="17">
        <v>4</v>
      </c>
      <c r="G95" s="17"/>
      <c r="H95" s="27"/>
      <c r="I95" s="28">
        <v>0.5</v>
      </c>
      <c r="J95" s="28">
        <v>0.6</v>
      </c>
      <c r="K95" s="29">
        <f t="shared" si="10"/>
        <v>9.9999999999999978E-2</v>
      </c>
      <c r="L95" s="12" t="str">
        <f>VLOOKUP(TEXT(B95,"00"),'Blinding key'!$A$2:$G$26,7,FALSE())</f>
        <v>A</v>
      </c>
      <c r="M95" s="30" t="str">
        <f>IFERROR(AVERAGE(INDEX('R1'!$D$3:$M$27,$B95,IF($L95="A",$F95,$F95+5)),INDEX('R2'!$D$3:$M$27,$B95,IF($L95="A",$F95,$F95+5)),INDEX('R3'!$D$3:$M$27,$B95,IF($L95="A",$F95,$F95+5))),"")</f>
        <v/>
      </c>
      <c r="N95" s="30" t="str">
        <f>IFERROR(AVERAGE(INDEX('R1'!$D$3:$M$27,$B95,IF($L95="A",$F95+5,$F95)),INDEX('R2'!$D$3:$M$27,$B95,IF($L95="A",$F95+5,$F95)),INDEX('R3'!$D$3:$M$27,$B95,IF($L95="A",$F95+5,$F95))),"")</f>
        <v/>
      </c>
      <c r="O95" s="29" t="str">
        <f t="shared" si="11"/>
        <v/>
      </c>
      <c r="P95" s="10" t="str">
        <f t="shared" si="12"/>
        <v/>
      </c>
      <c r="Q95" s="10" t="str">
        <f t="shared" si="13"/>
        <v/>
      </c>
      <c r="R95" s="10" t="str">
        <f t="shared" si="14"/>
        <v/>
      </c>
    </row>
    <row r="96" spans="1:18" ht="26.4" x14ac:dyDescent="0.3">
      <c r="A96" s="17">
        <v>95</v>
      </c>
      <c r="B96" s="17">
        <v>19</v>
      </c>
      <c r="C96" s="17" t="s">
        <v>59</v>
      </c>
      <c r="D96" s="26" t="s">
        <v>24</v>
      </c>
      <c r="E96" s="26" t="s">
        <v>103</v>
      </c>
      <c r="F96" s="17">
        <v>5</v>
      </c>
      <c r="G96" s="17"/>
      <c r="H96" s="27"/>
      <c r="I96" s="28">
        <v>0.3</v>
      </c>
      <c r="J96" s="28">
        <v>0.3</v>
      </c>
      <c r="K96" s="29">
        <f t="shared" si="10"/>
        <v>0</v>
      </c>
      <c r="L96" s="12" t="str">
        <f>VLOOKUP(TEXT(B96,"00"),'Blinding key'!$A$2:$G$26,7,FALSE())</f>
        <v>A</v>
      </c>
      <c r="M96" s="30" t="str">
        <f>IFERROR(AVERAGE(INDEX('R1'!$D$3:$M$27,$B96,IF($L96="A",$F96,$F96+5)),INDEX('R2'!$D$3:$M$27,$B96,IF($L96="A",$F96,$F96+5)),INDEX('R3'!$D$3:$M$27,$B96,IF($L96="A",$F96,$F96+5))),"")</f>
        <v/>
      </c>
      <c r="N96" s="30" t="str">
        <f>IFERROR(AVERAGE(INDEX('R1'!$D$3:$M$27,$B96,IF($L96="A",$F96+5,$F96)),INDEX('R2'!$D$3:$M$27,$B96,IF($L96="A",$F96+5,$F96)),INDEX('R3'!$D$3:$M$27,$B96,IF($L96="A",$F96+5,$F96))),"")</f>
        <v/>
      </c>
      <c r="O96" s="29" t="str">
        <f t="shared" si="11"/>
        <v/>
      </c>
      <c r="P96" s="10" t="str">
        <f t="shared" si="12"/>
        <v/>
      </c>
      <c r="Q96" s="10" t="str">
        <f t="shared" si="13"/>
        <v/>
      </c>
      <c r="R96" s="10" t="str">
        <f t="shared" si="14"/>
        <v/>
      </c>
    </row>
    <row r="97" spans="1:18" x14ac:dyDescent="0.3">
      <c r="A97" s="23">
        <v>96</v>
      </c>
      <c r="B97" s="23">
        <v>20</v>
      </c>
      <c r="C97" s="23" t="s">
        <v>61</v>
      </c>
      <c r="D97" s="32" t="s">
        <v>35</v>
      </c>
      <c r="E97" s="32" t="s">
        <v>74</v>
      </c>
      <c r="F97" s="23">
        <v>1</v>
      </c>
      <c r="G97" s="23"/>
      <c r="H97" s="33"/>
      <c r="I97" s="28">
        <v>0.7</v>
      </c>
      <c r="J97" s="28">
        <v>0.6</v>
      </c>
      <c r="K97" s="29">
        <f t="shared" si="10"/>
        <v>-9.9999999999999978E-2</v>
      </c>
      <c r="L97" s="12" t="str">
        <f>VLOOKUP(TEXT(B97,"00"),'Blinding key'!$A$2:$G$26,7,FALSE())</f>
        <v>B</v>
      </c>
      <c r="M97" s="30" t="str">
        <f>IFERROR(AVERAGE(INDEX('R1'!$D$3:$M$27,$B97,IF($L97="A",$F97,$F97+5)),INDEX('R2'!$D$3:$M$27,$B97,IF($L97="A",$F97,$F97+5)),INDEX('R3'!$D$3:$M$27,$B97,IF($L97="A",$F97,$F97+5))),"")</f>
        <v/>
      </c>
      <c r="N97" s="30" t="str">
        <f>IFERROR(AVERAGE(INDEX('R1'!$D$3:$M$27,$B97,IF($L97="A",$F97+5,$F97)),INDEX('R2'!$D$3:$M$27,$B97,IF($L97="A",$F97+5,$F97)),INDEX('R3'!$D$3:$M$27,$B97,IF($L97="A",$F97+5,$F97))),"")</f>
        <v/>
      </c>
      <c r="O97" s="29" t="str">
        <f t="shared" si="11"/>
        <v/>
      </c>
      <c r="P97" s="10" t="str">
        <f t="shared" si="12"/>
        <v/>
      </c>
      <c r="Q97" s="10" t="str">
        <f t="shared" si="13"/>
        <v/>
      </c>
      <c r="R97" s="10" t="str">
        <f t="shared" si="14"/>
        <v/>
      </c>
    </row>
    <row r="98" spans="1:18" x14ac:dyDescent="0.3">
      <c r="A98" s="23">
        <v>97</v>
      </c>
      <c r="B98" s="23">
        <v>20</v>
      </c>
      <c r="C98" s="23" t="s">
        <v>61</v>
      </c>
      <c r="D98" s="32" t="s">
        <v>35</v>
      </c>
      <c r="E98" s="32" t="s">
        <v>15</v>
      </c>
      <c r="F98" s="23">
        <v>2</v>
      </c>
      <c r="G98" s="23"/>
      <c r="H98" s="33"/>
      <c r="I98" s="28">
        <v>0.6</v>
      </c>
      <c r="J98" s="28">
        <v>0.4</v>
      </c>
      <c r="K98" s="29">
        <f t="shared" ref="K98:K129" si="15">J98-I98</f>
        <v>-0.19999999999999996</v>
      </c>
      <c r="L98" s="12" t="str">
        <f>VLOOKUP(TEXT(B98,"00"),'Blinding key'!$A$2:$G$26,7,FALSE())</f>
        <v>B</v>
      </c>
      <c r="M98" s="30" t="str">
        <f>IFERROR(AVERAGE(INDEX('R1'!$D$3:$M$27,$B98,IF($L98="A",$F98,$F98+5)),INDEX('R2'!$D$3:$M$27,$B98,IF($L98="A",$F98,$F98+5)),INDEX('R3'!$D$3:$M$27,$B98,IF($L98="A",$F98,$F98+5))),"")</f>
        <v/>
      </c>
      <c r="N98" s="30" t="str">
        <f>IFERROR(AVERAGE(INDEX('R1'!$D$3:$M$27,$B98,IF($L98="A",$F98+5,$F98)),INDEX('R2'!$D$3:$M$27,$B98,IF($L98="A",$F98+5,$F98)),INDEX('R3'!$D$3:$M$27,$B98,IF($L98="A",$F98+5,$F98))),"")</f>
        <v/>
      </c>
      <c r="O98" s="29" t="str">
        <f t="shared" ref="O98:O129" si="16">IF(OR(M98="",N98=""),"",N98-M98)</f>
        <v/>
      </c>
      <c r="P98" s="10" t="str">
        <f t="shared" ref="P98:P129" si="17">IF(O98="","",IF(SIGN(ROUND(O98,6))=SIGN(ROUND(K98,6)),1,0))</f>
        <v/>
      </c>
      <c r="Q98" s="10" t="str">
        <f t="shared" ref="Q98:Q126" si="18">IF(OR(G98&lt;&gt;"Y",O98=""),"",IF(SIGN(ROUND(O98,6))=SIGN(ROUND(H98-I98,6)),1,0))</f>
        <v/>
      </c>
      <c r="R98" s="10" t="str">
        <f t="shared" ref="R98:R126" si="19">IF(G98&lt;&gt;"Y","",IF(SIGN(ROUND(K98,6))=SIGN(ROUND(H98-I98,6)),1,0))</f>
        <v/>
      </c>
    </row>
    <row r="99" spans="1:18" x14ac:dyDescent="0.3">
      <c r="A99" s="23">
        <v>98</v>
      </c>
      <c r="B99" s="23">
        <v>20</v>
      </c>
      <c r="C99" s="23" t="s">
        <v>61</v>
      </c>
      <c r="D99" s="32" t="s">
        <v>35</v>
      </c>
      <c r="E99" s="32" t="s">
        <v>26</v>
      </c>
      <c r="F99" s="23">
        <v>3</v>
      </c>
      <c r="G99" s="23"/>
      <c r="H99" s="33"/>
      <c r="I99" s="28">
        <v>0.4</v>
      </c>
      <c r="J99" s="28">
        <v>0.3</v>
      </c>
      <c r="K99" s="29">
        <f t="shared" si="15"/>
        <v>-0.10000000000000003</v>
      </c>
      <c r="L99" s="12" t="str">
        <f>VLOOKUP(TEXT(B99,"00"),'Blinding key'!$A$2:$G$26,7,FALSE())</f>
        <v>B</v>
      </c>
      <c r="M99" s="30" t="str">
        <f>IFERROR(AVERAGE(INDEX('R1'!$D$3:$M$27,$B99,IF($L99="A",$F99,$F99+5)),INDEX('R2'!$D$3:$M$27,$B99,IF($L99="A",$F99,$F99+5)),INDEX('R3'!$D$3:$M$27,$B99,IF($L99="A",$F99,$F99+5))),"")</f>
        <v/>
      </c>
      <c r="N99" s="30" t="str">
        <f>IFERROR(AVERAGE(INDEX('R1'!$D$3:$M$27,$B99,IF($L99="A",$F99+5,$F99)),INDEX('R2'!$D$3:$M$27,$B99,IF($L99="A",$F99+5,$F99)),INDEX('R3'!$D$3:$M$27,$B99,IF($L99="A",$F99+5,$F99))),"")</f>
        <v/>
      </c>
      <c r="O99" s="29" t="str">
        <f t="shared" si="16"/>
        <v/>
      </c>
      <c r="P99" s="10" t="str">
        <f t="shared" si="17"/>
        <v/>
      </c>
      <c r="Q99" s="10" t="str">
        <f t="shared" si="18"/>
        <v/>
      </c>
      <c r="R99" s="10" t="str">
        <f t="shared" si="19"/>
        <v/>
      </c>
    </row>
    <row r="100" spans="1:18" x14ac:dyDescent="0.3">
      <c r="A100" s="23">
        <v>99</v>
      </c>
      <c r="B100" s="23">
        <v>20</v>
      </c>
      <c r="C100" s="23" t="s">
        <v>61</v>
      </c>
      <c r="D100" s="32" t="s">
        <v>35</v>
      </c>
      <c r="E100" s="34" t="s">
        <v>37</v>
      </c>
      <c r="F100" s="23">
        <v>4</v>
      </c>
      <c r="G100" s="23" t="s">
        <v>102</v>
      </c>
      <c r="H100" s="33">
        <v>0.1</v>
      </c>
      <c r="I100" s="28">
        <v>0.3</v>
      </c>
      <c r="J100" s="28">
        <v>0.2</v>
      </c>
      <c r="K100" s="29">
        <f t="shared" si="15"/>
        <v>-9.9999999999999978E-2</v>
      </c>
      <c r="L100" s="12" t="str">
        <f>VLOOKUP(TEXT(B100,"00"),'Blinding key'!$A$2:$G$26,7,FALSE())</f>
        <v>B</v>
      </c>
      <c r="M100" s="30" t="str">
        <f>IFERROR(AVERAGE(INDEX('R1'!$D$3:$M$27,$B100,IF($L100="A",$F100,$F100+5)),INDEX('R2'!$D$3:$M$27,$B100,IF($L100="A",$F100,$F100+5)),INDEX('R3'!$D$3:$M$27,$B100,IF($L100="A",$F100,$F100+5))),"")</f>
        <v/>
      </c>
      <c r="N100" s="30" t="str">
        <f>IFERROR(AVERAGE(INDEX('R1'!$D$3:$M$27,$B100,IF($L100="A",$F100+5,$F100)),INDEX('R2'!$D$3:$M$27,$B100,IF($L100="A",$F100+5,$F100)),INDEX('R3'!$D$3:$M$27,$B100,IF($L100="A",$F100+5,$F100))),"")</f>
        <v/>
      </c>
      <c r="O100" s="29" t="str">
        <f t="shared" si="16"/>
        <v/>
      </c>
      <c r="P100" s="10" t="str">
        <f t="shared" si="17"/>
        <v/>
      </c>
      <c r="Q100" s="10" t="str">
        <f t="shared" si="18"/>
        <v/>
      </c>
      <c r="R100" s="10">
        <f t="shared" si="19"/>
        <v>1</v>
      </c>
    </row>
    <row r="101" spans="1:18" x14ac:dyDescent="0.3">
      <c r="A101" s="23">
        <v>100</v>
      </c>
      <c r="B101" s="23">
        <v>20</v>
      </c>
      <c r="C101" s="23" t="s">
        <v>61</v>
      </c>
      <c r="D101" s="32" t="s">
        <v>35</v>
      </c>
      <c r="E101" s="32" t="s">
        <v>103</v>
      </c>
      <c r="F101" s="23">
        <v>5</v>
      </c>
      <c r="G101" s="23"/>
      <c r="H101" s="33"/>
      <c r="I101" s="28">
        <v>0.5</v>
      </c>
      <c r="J101" s="28">
        <v>0.5</v>
      </c>
      <c r="K101" s="29">
        <f t="shared" si="15"/>
        <v>0</v>
      </c>
      <c r="L101" s="12" t="str">
        <f>VLOOKUP(TEXT(B101,"00"),'Blinding key'!$A$2:$G$26,7,FALSE())</f>
        <v>B</v>
      </c>
      <c r="M101" s="30" t="str">
        <f>IFERROR(AVERAGE(INDEX('R1'!$D$3:$M$27,$B101,IF($L101="A",$F101,$F101+5)),INDEX('R2'!$D$3:$M$27,$B101,IF($L101="A",$F101,$F101+5)),INDEX('R3'!$D$3:$M$27,$B101,IF($L101="A",$F101,$F101+5))),"")</f>
        <v/>
      </c>
      <c r="N101" s="30" t="str">
        <f>IFERROR(AVERAGE(INDEX('R1'!$D$3:$M$27,$B101,IF($L101="A",$F101+5,$F101)),INDEX('R2'!$D$3:$M$27,$B101,IF($L101="A",$F101+5,$F101)),INDEX('R3'!$D$3:$M$27,$B101,IF($L101="A",$F101+5,$F101))),"")</f>
        <v/>
      </c>
      <c r="O101" s="29" t="str">
        <f t="shared" si="16"/>
        <v/>
      </c>
      <c r="P101" s="10" t="str">
        <f t="shared" si="17"/>
        <v/>
      </c>
      <c r="Q101" s="10" t="str">
        <f t="shared" si="18"/>
        <v/>
      </c>
      <c r="R101" s="10" t="str">
        <f t="shared" si="19"/>
        <v/>
      </c>
    </row>
    <row r="102" spans="1:18" x14ac:dyDescent="0.3">
      <c r="A102" s="17">
        <v>101</v>
      </c>
      <c r="B102" s="17">
        <v>21</v>
      </c>
      <c r="C102" s="17" t="s">
        <v>63</v>
      </c>
      <c r="D102" s="26" t="s">
        <v>13</v>
      </c>
      <c r="E102" s="26" t="s">
        <v>74</v>
      </c>
      <c r="F102" s="17">
        <v>1</v>
      </c>
      <c r="G102" s="17"/>
      <c r="H102" s="27"/>
      <c r="I102" s="28">
        <v>0.7</v>
      </c>
      <c r="J102" s="28">
        <v>0.7</v>
      </c>
      <c r="K102" s="29">
        <f t="shared" si="15"/>
        <v>0</v>
      </c>
      <c r="L102" s="12" t="str">
        <f>VLOOKUP(TEXT(B102,"00"),'Blinding key'!$A$2:$G$26,7,FALSE())</f>
        <v>A</v>
      </c>
      <c r="M102" s="30" t="str">
        <f>IFERROR(AVERAGE(INDEX('R1'!$D$3:$M$27,$B102,IF($L102="A",$F102,$F102+5)),INDEX('R2'!$D$3:$M$27,$B102,IF($L102="A",$F102,$F102+5)),INDEX('R3'!$D$3:$M$27,$B102,IF($L102="A",$F102,$F102+5))),"")</f>
        <v/>
      </c>
      <c r="N102" s="30" t="str">
        <f>IFERROR(AVERAGE(INDEX('R1'!$D$3:$M$27,$B102,IF($L102="A",$F102+5,$F102)),INDEX('R2'!$D$3:$M$27,$B102,IF($L102="A",$F102+5,$F102)),INDEX('R3'!$D$3:$M$27,$B102,IF($L102="A",$F102+5,$F102))),"")</f>
        <v/>
      </c>
      <c r="O102" s="29" t="str">
        <f t="shared" si="16"/>
        <v/>
      </c>
      <c r="P102" s="10" t="str">
        <f t="shared" si="17"/>
        <v/>
      </c>
      <c r="Q102" s="10" t="str">
        <f t="shared" si="18"/>
        <v/>
      </c>
      <c r="R102" s="10" t="str">
        <f t="shared" si="19"/>
        <v/>
      </c>
    </row>
    <row r="103" spans="1:18" x14ac:dyDescent="0.3">
      <c r="A103" s="17">
        <v>102</v>
      </c>
      <c r="B103" s="17">
        <v>21</v>
      </c>
      <c r="C103" s="17" t="s">
        <v>63</v>
      </c>
      <c r="D103" s="26" t="s">
        <v>13</v>
      </c>
      <c r="E103" s="31" t="s">
        <v>15</v>
      </c>
      <c r="F103" s="17">
        <v>2</v>
      </c>
      <c r="G103" s="17" t="s">
        <v>102</v>
      </c>
      <c r="H103" s="27">
        <v>0</v>
      </c>
      <c r="I103" s="28">
        <v>0.3</v>
      </c>
      <c r="J103" s="28">
        <v>0.3</v>
      </c>
      <c r="K103" s="29">
        <f t="shared" si="15"/>
        <v>0</v>
      </c>
      <c r="L103" s="12" t="str">
        <f>VLOOKUP(TEXT(B103,"00"),'Blinding key'!$A$2:$G$26,7,FALSE())</f>
        <v>A</v>
      </c>
      <c r="M103" s="30" t="str">
        <f>IFERROR(AVERAGE(INDEX('R1'!$D$3:$M$27,$B103,IF($L103="A",$F103,$F103+5)),INDEX('R2'!$D$3:$M$27,$B103,IF($L103="A",$F103,$F103+5)),INDEX('R3'!$D$3:$M$27,$B103,IF($L103="A",$F103,$F103+5))),"")</f>
        <v/>
      </c>
      <c r="N103" s="30" t="str">
        <f>IFERROR(AVERAGE(INDEX('R1'!$D$3:$M$27,$B103,IF($L103="A",$F103+5,$F103)),INDEX('R2'!$D$3:$M$27,$B103,IF($L103="A",$F103+5,$F103)),INDEX('R3'!$D$3:$M$27,$B103,IF($L103="A",$F103+5,$F103))),"")</f>
        <v/>
      </c>
      <c r="O103" s="29" t="str">
        <f t="shared" si="16"/>
        <v/>
      </c>
      <c r="P103" s="10" t="str">
        <f t="shared" si="17"/>
        <v/>
      </c>
      <c r="Q103" s="10" t="str">
        <f t="shared" si="18"/>
        <v/>
      </c>
      <c r="R103" s="10">
        <f t="shared" si="19"/>
        <v>0</v>
      </c>
    </row>
    <row r="104" spans="1:18" x14ac:dyDescent="0.3">
      <c r="A104" s="17">
        <v>103</v>
      </c>
      <c r="B104" s="17">
        <v>21</v>
      </c>
      <c r="C104" s="17" t="s">
        <v>63</v>
      </c>
      <c r="D104" s="26" t="s">
        <v>13</v>
      </c>
      <c r="E104" s="26" t="s">
        <v>26</v>
      </c>
      <c r="F104" s="17">
        <v>3</v>
      </c>
      <c r="G104" s="17"/>
      <c r="H104" s="27"/>
      <c r="I104" s="28">
        <v>0.8</v>
      </c>
      <c r="J104" s="28">
        <v>0.8</v>
      </c>
      <c r="K104" s="29">
        <f t="shared" si="15"/>
        <v>0</v>
      </c>
      <c r="L104" s="12" t="str">
        <f>VLOOKUP(TEXT(B104,"00"),'Blinding key'!$A$2:$G$26,7,FALSE())</f>
        <v>A</v>
      </c>
      <c r="M104" s="30" t="str">
        <f>IFERROR(AVERAGE(INDEX('R1'!$D$3:$M$27,$B104,IF($L104="A",$F104,$F104+5)),INDEX('R2'!$D$3:$M$27,$B104,IF($L104="A",$F104,$F104+5)),INDEX('R3'!$D$3:$M$27,$B104,IF($L104="A",$F104,$F104+5))),"")</f>
        <v/>
      </c>
      <c r="N104" s="30" t="str">
        <f>IFERROR(AVERAGE(INDEX('R1'!$D$3:$M$27,$B104,IF($L104="A",$F104+5,$F104)),INDEX('R2'!$D$3:$M$27,$B104,IF($L104="A",$F104+5,$F104)),INDEX('R3'!$D$3:$M$27,$B104,IF($L104="A",$F104+5,$F104))),"")</f>
        <v/>
      </c>
      <c r="O104" s="29" t="str">
        <f t="shared" si="16"/>
        <v/>
      </c>
      <c r="P104" s="10" t="str">
        <f t="shared" si="17"/>
        <v/>
      </c>
      <c r="Q104" s="10" t="str">
        <f t="shared" si="18"/>
        <v/>
      </c>
      <c r="R104" s="10" t="str">
        <f t="shared" si="19"/>
        <v/>
      </c>
    </row>
    <row r="105" spans="1:18" x14ac:dyDescent="0.3">
      <c r="A105" s="17">
        <v>104</v>
      </c>
      <c r="B105" s="17">
        <v>21</v>
      </c>
      <c r="C105" s="17" t="s">
        <v>63</v>
      </c>
      <c r="D105" s="26" t="s">
        <v>13</v>
      </c>
      <c r="E105" s="26" t="s">
        <v>37</v>
      </c>
      <c r="F105" s="17">
        <v>4</v>
      </c>
      <c r="G105" s="17"/>
      <c r="H105" s="27"/>
      <c r="I105" s="28">
        <v>0.1</v>
      </c>
      <c r="J105" s="28">
        <v>0.2</v>
      </c>
      <c r="K105" s="29">
        <f t="shared" si="15"/>
        <v>0.1</v>
      </c>
      <c r="L105" s="12" t="str">
        <f>VLOOKUP(TEXT(B105,"00"),'Blinding key'!$A$2:$G$26,7,FALSE())</f>
        <v>A</v>
      </c>
      <c r="M105" s="30" t="str">
        <f>IFERROR(AVERAGE(INDEX('R1'!$D$3:$M$27,$B105,IF($L105="A",$F105,$F105+5)),INDEX('R2'!$D$3:$M$27,$B105,IF($L105="A",$F105,$F105+5)),INDEX('R3'!$D$3:$M$27,$B105,IF($L105="A",$F105,$F105+5))),"")</f>
        <v/>
      </c>
      <c r="N105" s="30" t="str">
        <f>IFERROR(AVERAGE(INDEX('R1'!$D$3:$M$27,$B105,IF($L105="A",$F105+5,$F105)),INDEX('R2'!$D$3:$M$27,$B105,IF($L105="A",$F105+5,$F105)),INDEX('R3'!$D$3:$M$27,$B105,IF($L105="A",$F105+5,$F105))),"")</f>
        <v/>
      </c>
      <c r="O105" s="29" t="str">
        <f t="shared" si="16"/>
        <v/>
      </c>
      <c r="P105" s="10" t="str">
        <f t="shared" si="17"/>
        <v/>
      </c>
      <c r="Q105" s="10" t="str">
        <f t="shared" si="18"/>
        <v/>
      </c>
      <c r="R105" s="10" t="str">
        <f t="shared" si="19"/>
        <v/>
      </c>
    </row>
    <row r="106" spans="1:18" x14ac:dyDescent="0.3">
      <c r="A106" s="17">
        <v>105</v>
      </c>
      <c r="B106" s="17">
        <v>21</v>
      </c>
      <c r="C106" s="17" t="s">
        <v>63</v>
      </c>
      <c r="D106" s="26" t="s">
        <v>13</v>
      </c>
      <c r="E106" s="26" t="s">
        <v>103</v>
      </c>
      <c r="F106" s="17">
        <v>5</v>
      </c>
      <c r="G106" s="17"/>
      <c r="H106" s="27"/>
      <c r="I106" s="28">
        <v>0.5</v>
      </c>
      <c r="J106" s="28">
        <v>0.6</v>
      </c>
      <c r="K106" s="29">
        <f t="shared" si="15"/>
        <v>9.9999999999999978E-2</v>
      </c>
      <c r="L106" s="12" t="str">
        <f>VLOOKUP(TEXT(B106,"00"),'Blinding key'!$A$2:$G$26,7,FALSE())</f>
        <v>A</v>
      </c>
      <c r="M106" s="30" t="str">
        <f>IFERROR(AVERAGE(INDEX('R1'!$D$3:$M$27,$B106,IF($L106="A",$F106,$F106+5)),INDEX('R2'!$D$3:$M$27,$B106,IF($L106="A",$F106,$F106+5)),INDEX('R3'!$D$3:$M$27,$B106,IF($L106="A",$F106,$F106+5))),"")</f>
        <v/>
      </c>
      <c r="N106" s="30" t="str">
        <f>IFERROR(AVERAGE(INDEX('R1'!$D$3:$M$27,$B106,IF($L106="A",$F106+5,$F106)),INDEX('R2'!$D$3:$M$27,$B106,IF($L106="A",$F106+5,$F106)),INDEX('R3'!$D$3:$M$27,$B106,IF($L106="A",$F106+5,$F106))),"")</f>
        <v/>
      </c>
      <c r="O106" s="29" t="str">
        <f t="shared" si="16"/>
        <v/>
      </c>
      <c r="P106" s="10" t="str">
        <f t="shared" si="17"/>
        <v/>
      </c>
      <c r="Q106" s="10" t="str">
        <f t="shared" si="18"/>
        <v/>
      </c>
      <c r="R106" s="10" t="str">
        <f t="shared" si="19"/>
        <v/>
      </c>
    </row>
    <row r="107" spans="1:18" x14ac:dyDescent="0.3">
      <c r="A107" s="23">
        <v>106</v>
      </c>
      <c r="B107" s="23">
        <v>22</v>
      </c>
      <c r="C107" s="23" t="s">
        <v>65</v>
      </c>
      <c r="D107" s="32" t="s">
        <v>13</v>
      </c>
      <c r="E107" s="32" t="s">
        <v>74</v>
      </c>
      <c r="F107" s="23">
        <v>1</v>
      </c>
      <c r="G107" s="23"/>
      <c r="H107" s="33"/>
      <c r="I107" s="28">
        <v>0.5</v>
      </c>
      <c r="J107" s="28">
        <v>0.6</v>
      </c>
      <c r="K107" s="29">
        <f t="shared" si="15"/>
        <v>9.9999999999999978E-2</v>
      </c>
      <c r="L107" s="12" t="str">
        <f>VLOOKUP(TEXT(B107,"00"),'Blinding key'!$A$2:$G$26,7,FALSE())</f>
        <v>A</v>
      </c>
      <c r="M107" s="30" t="str">
        <f>IFERROR(AVERAGE(INDEX('R1'!$D$3:$M$27,$B107,IF($L107="A",$F107,$F107+5)),INDEX('R2'!$D$3:$M$27,$B107,IF($L107="A",$F107,$F107+5)),INDEX('R3'!$D$3:$M$27,$B107,IF($L107="A",$F107,$F107+5))),"")</f>
        <v/>
      </c>
      <c r="N107" s="30" t="str">
        <f>IFERROR(AVERAGE(INDEX('R1'!$D$3:$M$27,$B107,IF($L107="A",$F107+5,$F107)),INDEX('R2'!$D$3:$M$27,$B107,IF($L107="A",$F107+5,$F107)),INDEX('R3'!$D$3:$M$27,$B107,IF($L107="A",$F107+5,$F107))),"")</f>
        <v/>
      </c>
      <c r="O107" s="29" t="str">
        <f t="shared" si="16"/>
        <v/>
      </c>
      <c r="P107" s="10" t="str">
        <f t="shared" si="17"/>
        <v/>
      </c>
      <c r="Q107" s="10" t="str">
        <f t="shared" si="18"/>
        <v/>
      </c>
      <c r="R107" s="10" t="str">
        <f t="shared" si="19"/>
        <v/>
      </c>
    </row>
    <row r="108" spans="1:18" x14ac:dyDescent="0.3">
      <c r="A108" s="23">
        <v>107</v>
      </c>
      <c r="B108" s="23">
        <v>22</v>
      </c>
      <c r="C108" s="23" t="s">
        <v>65</v>
      </c>
      <c r="D108" s="32" t="s">
        <v>13</v>
      </c>
      <c r="E108" s="34" t="s">
        <v>15</v>
      </c>
      <c r="F108" s="23">
        <v>2</v>
      </c>
      <c r="G108" s="23" t="s">
        <v>102</v>
      </c>
      <c r="H108" s="33">
        <v>0.4</v>
      </c>
      <c r="I108" s="28">
        <v>0.3</v>
      </c>
      <c r="J108" s="28">
        <v>0.4</v>
      </c>
      <c r="K108" s="29">
        <f t="shared" si="15"/>
        <v>0.10000000000000003</v>
      </c>
      <c r="L108" s="12" t="str">
        <f>VLOOKUP(TEXT(B108,"00"),'Blinding key'!$A$2:$G$26,7,FALSE())</f>
        <v>A</v>
      </c>
      <c r="M108" s="30" t="str">
        <f>IFERROR(AVERAGE(INDEX('R1'!$D$3:$M$27,$B108,IF($L108="A",$F108,$F108+5)),INDEX('R2'!$D$3:$M$27,$B108,IF($L108="A",$F108,$F108+5)),INDEX('R3'!$D$3:$M$27,$B108,IF($L108="A",$F108,$F108+5))),"")</f>
        <v/>
      </c>
      <c r="N108" s="30" t="str">
        <f>IFERROR(AVERAGE(INDEX('R1'!$D$3:$M$27,$B108,IF($L108="A",$F108+5,$F108)),INDEX('R2'!$D$3:$M$27,$B108,IF($L108="A",$F108+5,$F108)),INDEX('R3'!$D$3:$M$27,$B108,IF($L108="A",$F108+5,$F108))),"")</f>
        <v/>
      </c>
      <c r="O108" s="29" t="str">
        <f t="shared" si="16"/>
        <v/>
      </c>
      <c r="P108" s="10" t="str">
        <f t="shared" si="17"/>
        <v/>
      </c>
      <c r="Q108" s="10" t="str">
        <f t="shared" si="18"/>
        <v/>
      </c>
      <c r="R108" s="10">
        <f t="shared" si="19"/>
        <v>1</v>
      </c>
    </row>
    <row r="109" spans="1:18" x14ac:dyDescent="0.3">
      <c r="A109" s="23">
        <v>108</v>
      </c>
      <c r="B109" s="23">
        <v>22</v>
      </c>
      <c r="C109" s="23" t="s">
        <v>65</v>
      </c>
      <c r="D109" s="32" t="s">
        <v>13</v>
      </c>
      <c r="E109" s="32" t="s">
        <v>26</v>
      </c>
      <c r="F109" s="23">
        <v>3</v>
      </c>
      <c r="G109" s="23"/>
      <c r="H109" s="33"/>
      <c r="I109" s="28">
        <v>0.4</v>
      </c>
      <c r="J109" s="28">
        <v>0.3</v>
      </c>
      <c r="K109" s="29">
        <f t="shared" si="15"/>
        <v>-0.10000000000000003</v>
      </c>
      <c r="L109" s="12" t="str">
        <f>VLOOKUP(TEXT(B109,"00"),'Blinding key'!$A$2:$G$26,7,FALSE())</f>
        <v>A</v>
      </c>
      <c r="M109" s="30" t="str">
        <f>IFERROR(AVERAGE(INDEX('R1'!$D$3:$M$27,$B109,IF($L109="A",$F109,$F109+5)),INDEX('R2'!$D$3:$M$27,$B109,IF($L109="A",$F109,$F109+5)),INDEX('R3'!$D$3:$M$27,$B109,IF($L109="A",$F109,$F109+5))),"")</f>
        <v/>
      </c>
      <c r="N109" s="30" t="str">
        <f>IFERROR(AVERAGE(INDEX('R1'!$D$3:$M$27,$B109,IF($L109="A",$F109+5,$F109)),INDEX('R2'!$D$3:$M$27,$B109,IF($L109="A",$F109+5,$F109)),INDEX('R3'!$D$3:$M$27,$B109,IF($L109="A",$F109+5,$F109))),"")</f>
        <v/>
      </c>
      <c r="O109" s="29" t="str">
        <f t="shared" si="16"/>
        <v/>
      </c>
      <c r="P109" s="10" t="str">
        <f t="shared" si="17"/>
        <v/>
      </c>
      <c r="Q109" s="10" t="str">
        <f t="shared" si="18"/>
        <v/>
      </c>
      <c r="R109" s="10" t="str">
        <f t="shared" si="19"/>
        <v/>
      </c>
    </row>
    <row r="110" spans="1:18" x14ac:dyDescent="0.3">
      <c r="A110" s="23">
        <v>109</v>
      </c>
      <c r="B110" s="23">
        <v>22</v>
      </c>
      <c r="C110" s="23" t="s">
        <v>65</v>
      </c>
      <c r="D110" s="32" t="s">
        <v>13</v>
      </c>
      <c r="E110" s="32" t="s">
        <v>37</v>
      </c>
      <c r="F110" s="23">
        <v>4</v>
      </c>
      <c r="G110" s="23"/>
      <c r="H110" s="33"/>
      <c r="I110" s="28">
        <v>0.6</v>
      </c>
      <c r="J110" s="28">
        <v>0.8</v>
      </c>
      <c r="K110" s="29">
        <f t="shared" si="15"/>
        <v>0.20000000000000007</v>
      </c>
      <c r="L110" s="12" t="str">
        <f>VLOOKUP(TEXT(B110,"00"),'Blinding key'!$A$2:$G$26,7,FALSE())</f>
        <v>A</v>
      </c>
      <c r="M110" s="30" t="str">
        <f>IFERROR(AVERAGE(INDEX('R1'!$D$3:$M$27,$B110,IF($L110="A",$F110,$F110+5)),INDEX('R2'!$D$3:$M$27,$B110,IF($L110="A",$F110,$F110+5)),INDEX('R3'!$D$3:$M$27,$B110,IF($L110="A",$F110,$F110+5))),"")</f>
        <v/>
      </c>
      <c r="N110" s="30" t="str">
        <f>IFERROR(AVERAGE(INDEX('R1'!$D$3:$M$27,$B110,IF($L110="A",$F110+5,$F110)),INDEX('R2'!$D$3:$M$27,$B110,IF($L110="A",$F110+5,$F110)),INDEX('R3'!$D$3:$M$27,$B110,IF($L110="A",$F110+5,$F110))),"")</f>
        <v/>
      </c>
      <c r="O110" s="29" t="str">
        <f t="shared" si="16"/>
        <v/>
      </c>
      <c r="P110" s="10" t="str">
        <f t="shared" si="17"/>
        <v/>
      </c>
      <c r="Q110" s="10" t="str">
        <f t="shared" si="18"/>
        <v/>
      </c>
      <c r="R110" s="10" t="str">
        <f t="shared" si="19"/>
        <v/>
      </c>
    </row>
    <row r="111" spans="1:18" x14ac:dyDescent="0.3">
      <c r="A111" s="23">
        <v>110</v>
      </c>
      <c r="B111" s="23">
        <v>22</v>
      </c>
      <c r="C111" s="23" t="s">
        <v>65</v>
      </c>
      <c r="D111" s="32" t="s">
        <v>13</v>
      </c>
      <c r="E111" s="32" t="s">
        <v>103</v>
      </c>
      <c r="F111" s="23">
        <v>5</v>
      </c>
      <c r="G111" s="23"/>
      <c r="H111" s="33"/>
      <c r="I111" s="28">
        <v>0.7</v>
      </c>
      <c r="J111" s="28">
        <v>0.5</v>
      </c>
      <c r="K111" s="29">
        <f t="shared" si="15"/>
        <v>-0.19999999999999996</v>
      </c>
      <c r="L111" s="12" t="str">
        <f>VLOOKUP(TEXT(B111,"00"),'Blinding key'!$A$2:$G$26,7,FALSE())</f>
        <v>A</v>
      </c>
      <c r="M111" s="30" t="str">
        <f>IFERROR(AVERAGE(INDEX('R1'!$D$3:$M$27,$B111,IF($L111="A",$F111,$F111+5)),INDEX('R2'!$D$3:$M$27,$B111,IF($L111="A",$F111,$F111+5)),INDEX('R3'!$D$3:$M$27,$B111,IF($L111="A",$F111,$F111+5))),"")</f>
        <v/>
      </c>
      <c r="N111" s="30" t="str">
        <f>IFERROR(AVERAGE(INDEX('R1'!$D$3:$M$27,$B111,IF($L111="A",$F111+5,$F111)),INDEX('R2'!$D$3:$M$27,$B111,IF($L111="A",$F111+5,$F111)),INDEX('R3'!$D$3:$M$27,$B111,IF($L111="A",$F111+5,$F111))),"")</f>
        <v/>
      </c>
      <c r="O111" s="29" t="str">
        <f t="shared" si="16"/>
        <v/>
      </c>
      <c r="P111" s="10" t="str">
        <f t="shared" si="17"/>
        <v/>
      </c>
      <c r="Q111" s="10" t="str">
        <f t="shared" si="18"/>
        <v/>
      </c>
      <c r="R111" s="10" t="str">
        <f t="shared" si="19"/>
        <v/>
      </c>
    </row>
    <row r="112" spans="1:18" x14ac:dyDescent="0.3">
      <c r="A112" s="17">
        <v>111</v>
      </c>
      <c r="B112" s="17">
        <v>23</v>
      </c>
      <c r="C112" s="17" t="s">
        <v>67</v>
      </c>
      <c r="D112" s="26" t="s">
        <v>13</v>
      </c>
      <c r="E112" s="26" t="s">
        <v>74</v>
      </c>
      <c r="F112" s="17">
        <v>1</v>
      </c>
      <c r="G112" s="17"/>
      <c r="H112" s="27"/>
      <c r="I112" s="28">
        <v>0.3</v>
      </c>
      <c r="J112" s="28">
        <v>0.5</v>
      </c>
      <c r="K112" s="29">
        <f t="shared" si="15"/>
        <v>0.2</v>
      </c>
      <c r="L112" s="12" t="str">
        <f>VLOOKUP(TEXT(B112,"00"),'Blinding key'!$A$2:$G$26,7,FALSE())</f>
        <v>A</v>
      </c>
      <c r="M112" s="30" t="str">
        <f>IFERROR(AVERAGE(INDEX('R1'!$D$3:$M$27,$B112,IF($L112="A",$F112,$F112+5)),INDEX('R2'!$D$3:$M$27,$B112,IF($L112="A",$F112,$F112+5)),INDEX('R3'!$D$3:$M$27,$B112,IF($L112="A",$F112,$F112+5))),"")</f>
        <v/>
      </c>
      <c r="N112" s="30" t="str">
        <f>IFERROR(AVERAGE(INDEX('R1'!$D$3:$M$27,$B112,IF($L112="A",$F112+5,$F112)),INDEX('R2'!$D$3:$M$27,$B112,IF($L112="A",$F112+5,$F112)),INDEX('R3'!$D$3:$M$27,$B112,IF($L112="A",$F112+5,$F112))),"")</f>
        <v/>
      </c>
      <c r="O112" s="29" t="str">
        <f t="shared" si="16"/>
        <v/>
      </c>
      <c r="P112" s="10" t="str">
        <f t="shared" si="17"/>
        <v/>
      </c>
      <c r="Q112" s="10" t="str">
        <f t="shared" si="18"/>
        <v/>
      </c>
      <c r="R112" s="10" t="str">
        <f t="shared" si="19"/>
        <v/>
      </c>
    </row>
    <row r="113" spans="1:18" x14ac:dyDescent="0.3">
      <c r="A113" s="17">
        <v>112</v>
      </c>
      <c r="B113" s="17">
        <v>23</v>
      </c>
      <c r="C113" s="17" t="s">
        <v>67</v>
      </c>
      <c r="D113" s="26" t="s">
        <v>13</v>
      </c>
      <c r="E113" s="31" t="s">
        <v>15</v>
      </c>
      <c r="F113" s="17">
        <v>2</v>
      </c>
      <c r="G113" s="17" t="s">
        <v>102</v>
      </c>
      <c r="H113" s="27">
        <v>0.4</v>
      </c>
      <c r="I113" s="28">
        <v>0.2</v>
      </c>
      <c r="J113" s="28">
        <v>0.3</v>
      </c>
      <c r="K113" s="29">
        <f t="shared" si="15"/>
        <v>9.9999999999999978E-2</v>
      </c>
      <c r="L113" s="12" t="str">
        <f>VLOOKUP(TEXT(B113,"00"),'Blinding key'!$A$2:$G$26,7,FALSE())</f>
        <v>A</v>
      </c>
      <c r="M113" s="30" t="str">
        <f>IFERROR(AVERAGE(INDEX('R1'!$D$3:$M$27,$B113,IF($L113="A",$F113,$F113+5)),INDEX('R2'!$D$3:$M$27,$B113,IF($L113="A",$F113,$F113+5)),INDEX('R3'!$D$3:$M$27,$B113,IF($L113="A",$F113,$F113+5))),"")</f>
        <v/>
      </c>
      <c r="N113" s="30" t="str">
        <f>IFERROR(AVERAGE(INDEX('R1'!$D$3:$M$27,$B113,IF($L113="A",$F113+5,$F113)),INDEX('R2'!$D$3:$M$27,$B113,IF($L113="A",$F113+5,$F113)),INDEX('R3'!$D$3:$M$27,$B113,IF($L113="A",$F113+5,$F113))),"")</f>
        <v/>
      </c>
      <c r="O113" s="29" t="str">
        <f t="shared" si="16"/>
        <v/>
      </c>
      <c r="P113" s="10" t="str">
        <f t="shared" si="17"/>
        <v/>
      </c>
      <c r="Q113" s="10" t="str">
        <f t="shared" si="18"/>
        <v/>
      </c>
      <c r="R113" s="10">
        <f t="shared" si="19"/>
        <v>1</v>
      </c>
    </row>
    <row r="114" spans="1:18" x14ac:dyDescent="0.3">
      <c r="A114" s="17">
        <v>113</v>
      </c>
      <c r="B114" s="17">
        <v>23</v>
      </c>
      <c r="C114" s="17" t="s">
        <v>67</v>
      </c>
      <c r="D114" s="26" t="s">
        <v>13</v>
      </c>
      <c r="E114" s="26" t="s">
        <v>26</v>
      </c>
      <c r="F114" s="17">
        <v>3</v>
      </c>
      <c r="G114" s="17"/>
      <c r="H114" s="27"/>
      <c r="I114" s="28">
        <v>0.1</v>
      </c>
      <c r="J114" s="28">
        <v>0.2</v>
      </c>
      <c r="K114" s="29">
        <f t="shared" si="15"/>
        <v>0.1</v>
      </c>
      <c r="L114" s="12" t="str">
        <f>VLOOKUP(TEXT(B114,"00"),'Blinding key'!$A$2:$G$26,7,FALSE())</f>
        <v>A</v>
      </c>
      <c r="M114" s="30" t="str">
        <f>IFERROR(AVERAGE(INDEX('R1'!$D$3:$M$27,$B114,IF($L114="A",$F114,$F114+5)),INDEX('R2'!$D$3:$M$27,$B114,IF($L114="A",$F114,$F114+5)),INDEX('R3'!$D$3:$M$27,$B114,IF($L114="A",$F114,$F114+5))),"")</f>
        <v/>
      </c>
      <c r="N114" s="30" t="str">
        <f>IFERROR(AVERAGE(INDEX('R1'!$D$3:$M$27,$B114,IF($L114="A",$F114+5,$F114)),INDEX('R2'!$D$3:$M$27,$B114,IF($L114="A",$F114+5,$F114)),INDEX('R3'!$D$3:$M$27,$B114,IF($L114="A",$F114+5,$F114))),"")</f>
        <v/>
      </c>
      <c r="O114" s="29" t="str">
        <f t="shared" si="16"/>
        <v/>
      </c>
      <c r="P114" s="10" t="str">
        <f t="shared" si="17"/>
        <v/>
      </c>
      <c r="Q114" s="10" t="str">
        <f t="shared" si="18"/>
        <v/>
      </c>
      <c r="R114" s="10" t="str">
        <f t="shared" si="19"/>
        <v/>
      </c>
    </row>
    <row r="115" spans="1:18" x14ac:dyDescent="0.3">
      <c r="A115" s="17">
        <v>114</v>
      </c>
      <c r="B115" s="17">
        <v>23</v>
      </c>
      <c r="C115" s="17" t="s">
        <v>67</v>
      </c>
      <c r="D115" s="26" t="s">
        <v>13</v>
      </c>
      <c r="E115" s="26" t="s">
        <v>37</v>
      </c>
      <c r="F115" s="17">
        <v>4</v>
      </c>
      <c r="G115" s="17"/>
      <c r="H115" s="27"/>
      <c r="I115" s="28">
        <v>0.1</v>
      </c>
      <c r="J115" s="28">
        <v>0.4</v>
      </c>
      <c r="K115" s="29">
        <f t="shared" si="15"/>
        <v>0.30000000000000004</v>
      </c>
      <c r="L115" s="12" t="str">
        <f>VLOOKUP(TEXT(B115,"00"),'Blinding key'!$A$2:$G$26,7,FALSE())</f>
        <v>A</v>
      </c>
      <c r="M115" s="30" t="str">
        <f>IFERROR(AVERAGE(INDEX('R1'!$D$3:$M$27,$B115,IF($L115="A",$F115,$F115+5)),INDEX('R2'!$D$3:$M$27,$B115,IF($L115="A",$F115,$F115+5)),INDEX('R3'!$D$3:$M$27,$B115,IF($L115="A",$F115,$F115+5))),"")</f>
        <v/>
      </c>
      <c r="N115" s="30" t="str">
        <f>IFERROR(AVERAGE(INDEX('R1'!$D$3:$M$27,$B115,IF($L115="A",$F115+5,$F115)),INDEX('R2'!$D$3:$M$27,$B115,IF($L115="A",$F115+5,$F115)),INDEX('R3'!$D$3:$M$27,$B115,IF($L115="A",$F115+5,$F115))),"")</f>
        <v/>
      </c>
      <c r="O115" s="29" t="str">
        <f t="shared" si="16"/>
        <v/>
      </c>
      <c r="P115" s="10" t="str">
        <f t="shared" si="17"/>
        <v/>
      </c>
      <c r="Q115" s="10" t="str">
        <f t="shared" si="18"/>
        <v/>
      </c>
      <c r="R115" s="10" t="str">
        <f t="shared" si="19"/>
        <v/>
      </c>
    </row>
    <row r="116" spans="1:18" x14ac:dyDescent="0.3">
      <c r="A116" s="17">
        <v>115</v>
      </c>
      <c r="B116" s="17">
        <v>23</v>
      </c>
      <c r="C116" s="17" t="s">
        <v>67</v>
      </c>
      <c r="D116" s="26" t="s">
        <v>13</v>
      </c>
      <c r="E116" s="26" t="s">
        <v>103</v>
      </c>
      <c r="F116" s="17">
        <v>5</v>
      </c>
      <c r="G116" s="17"/>
      <c r="H116" s="27"/>
      <c r="I116" s="28">
        <v>0.2</v>
      </c>
      <c r="J116" s="28">
        <v>0.3</v>
      </c>
      <c r="K116" s="29">
        <f t="shared" si="15"/>
        <v>9.9999999999999978E-2</v>
      </c>
      <c r="L116" s="12" t="str">
        <f>VLOOKUP(TEXT(B116,"00"),'Blinding key'!$A$2:$G$26,7,FALSE())</f>
        <v>A</v>
      </c>
      <c r="M116" s="30" t="str">
        <f>IFERROR(AVERAGE(INDEX('R1'!$D$3:$M$27,$B116,IF($L116="A",$F116,$F116+5)),INDEX('R2'!$D$3:$M$27,$B116,IF($L116="A",$F116,$F116+5)),INDEX('R3'!$D$3:$M$27,$B116,IF($L116="A",$F116,$F116+5))),"")</f>
        <v/>
      </c>
      <c r="N116" s="30" t="str">
        <f>IFERROR(AVERAGE(INDEX('R1'!$D$3:$M$27,$B116,IF($L116="A",$F116+5,$F116)),INDEX('R2'!$D$3:$M$27,$B116,IF($L116="A",$F116+5,$F116)),INDEX('R3'!$D$3:$M$27,$B116,IF($L116="A",$F116+5,$F116))),"")</f>
        <v/>
      </c>
      <c r="O116" s="29" t="str">
        <f t="shared" si="16"/>
        <v/>
      </c>
      <c r="P116" s="10" t="str">
        <f t="shared" si="17"/>
        <v/>
      </c>
      <c r="Q116" s="10" t="str">
        <f t="shared" si="18"/>
        <v/>
      </c>
      <c r="R116" s="10" t="str">
        <f t="shared" si="19"/>
        <v/>
      </c>
    </row>
    <row r="117" spans="1:18" ht="26.4" x14ac:dyDescent="0.3">
      <c r="A117" s="23">
        <v>116</v>
      </c>
      <c r="B117" s="23">
        <v>24</v>
      </c>
      <c r="C117" s="23" t="s">
        <v>69</v>
      </c>
      <c r="D117" s="32" t="s">
        <v>24</v>
      </c>
      <c r="E117" s="32" t="s">
        <v>74</v>
      </c>
      <c r="F117" s="23">
        <v>1</v>
      </c>
      <c r="G117" s="23"/>
      <c r="H117" s="33"/>
      <c r="I117" s="28">
        <v>0.7</v>
      </c>
      <c r="J117" s="28">
        <v>0.7</v>
      </c>
      <c r="K117" s="29">
        <f t="shared" si="15"/>
        <v>0</v>
      </c>
      <c r="L117" s="12" t="str">
        <f>VLOOKUP(TEXT(B117,"00"),'Blinding key'!$A$2:$G$26,7,FALSE())</f>
        <v>A</v>
      </c>
      <c r="M117" s="30" t="str">
        <f>IFERROR(AVERAGE(INDEX('R1'!$D$3:$M$27,$B117,IF($L117="A",$F117,$F117+5)),INDEX('R2'!$D$3:$M$27,$B117,IF($L117="A",$F117,$F117+5)),INDEX('R3'!$D$3:$M$27,$B117,IF($L117="A",$F117,$F117+5))),"")</f>
        <v/>
      </c>
      <c r="N117" s="30" t="str">
        <f>IFERROR(AVERAGE(INDEX('R1'!$D$3:$M$27,$B117,IF($L117="A",$F117+5,$F117)),INDEX('R2'!$D$3:$M$27,$B117,IF($L117="A",$F117+5,$F117)),INDEX('R3'!$D$3:$M$27,$B117,IF($L117="A",$F117+5,$F117))),"")</f>
        <v/>
      </c>
      <c r="O117" s="29" t="str">
        <f t="shared" si="16"/>
        <v/>
      </c>
      <c r="P117" s="10" t="str">
        <f t="shared" si="17"/>
        <v/>
      </c>
      <c r="Q117" s="10" t="str">
        <f t="shared" si="18"/>
        <v/>
      </c>
      <c r="R117" s="10" t="str">
        <f t="shared" si="19"/>
        <v/>
      </c>
    </row>
    <row r="118" spans="1:18" ht="26.4" x14ac:dyDescent="0.3">
      <c r="A118" s="23">
        <v>117</v>
      </c>
      <c r="B118" s="23">
        <v>24</v>
      </c>
      <c r="C118" s="23" t="s">
        <v>69</v>
      </c>
      <c r="D118" s="32" t="s">
        <v>24</v>
      </c>
      <c r="E118" s="32" t="s">
        <v>15</v>
      </c>
      <c r="F118" s="23">
        <v>2</v>
      </c>
      <c r="G118" s="23"/>
      <c r="H118" s="33"/>
      <c r="I118" s="28">
        <v>0.4</v>
      </c>
      <c r="J118" s="28">
        <v>0.4</v>
      </c>
      <c r="K118" s="29">
        <f t="shared" si="15"/>
        <v>0</v>
      </c>
      <c r="L118" s="12" t="str">
        <f>VLOOKUP(TEXT(B118,"00"),'Blinding key'!$A$2:$G$26,7,FALSE())</f>
        <v>A</v>
      </c>
      <c r="M118" s="30" t="str">
        <f>IFERROR(AVERAGE(INDEX('R1'!$D$3:$M$27,$B118,IF($L118="A",$F118,$F118+5)),INDEX('R2'!$D$3:$M$27,$B118,IF($L118="A",$F118,$F118+5)),INDEX('R3'!$D$3:$M$27,$B118,IF($L118="A",$F118,$F118+5))),"")</f>
        <v/>
      </c>
      <c r="N118" s="30" t="str">
        <f>IFERROR(AVERAGE(INDEX('R1'!$D$3:$M$27,$B118,IF($L118="A",$F118+5,$F118)),INDEX('R2'!$D$3:$M$27,$B118,IF($L118="A",$F118+5,$F118)),INDEX('R3'!$D$3:$M$27,$B118,IF($L118="A",$F118+5,$F118))),"")</f>
        <v/>
      </c>
      <c r="O118" s="29" t="str">
        <f t="shared" si="16"/>
        <v/>
      </c>
      <c r="P118" s="10" t="str">
        <f t="shared" si="17"/>
        <v/>
      </c>
      <c r="Q118" s="10" t="str">
        <f t="shared" si="18"/>
        <v/>
      </c>
      <c r="R118" s="10" t="str">
        <f t="shared" si="19"/>
        <v/>
      </c>
    </row>
    <row r="119" spans="1:18" ht="26.4" x14ac:dyDescent="0.3">
      <c r="A119" s="23">
        <v>118</v>
      </c>
      <c r="B119" s="23">
        <v>24</v>
      </c>
      <c r="C119" s="23" t="s">
        <v>69</v>
      </c>
      <c r="D119" s="32" t="s">
        <v>24</v>
      </c>
      <c r="E119" s="34" t="s">
        <v>26</v>
      </c>
      <c r="F119" s="23">
        <v>3</v>
      </c>
      <c r="G119" s="23" t="s">
        <v>102</v>
      </c>
      <c r="H119" s="33">
        <v>0.5</v>
      </c>
      <c r="I119" s="28">
        <v>0.6</v>
      </c>
      <c r="J119" s="28">
        <v>0.3</v>
      </c>
      <c r="K119" s="29">
        <f t="shared" si="15"/>
        <v>-0.3</v>
      </c>
      <c r="L119" s="12" t="str">
        <f>VLOOKUP(TEXT(B119,"00"),'Blinding key'!$A$2:$G$26,7,FALSE())</f>
        <v>A</v>
      </c>
      <c r="M119" s="30" t="str">
        <f>IFERROR(AVERAGE(INDEX('R1'!$D$3:$M$27,$B119,IF($L119="A",$F119,$F119+5)),INDEX('R2'!$D$3:$M$27,$B119,IF($L119="A",$F119,$F119+5)),INDEX('R3'!$D$3:$M$27,$B119,IF($L119="A",$F119,$F119+5))),"")</f>
        <v/>
      </c>
      <c r="N119" s="30" t="str">
        <f>IFERROR(AVERAGE(INDEX('R1'!$D$3:$M$27,$B119,IF($L119="A",$F119+5,$F119)),INDEX('R2'!$D$3:$M$27,$B119,IF($L119="A",$F119+5,$F119)),INDEX('R3'!$D$3:$M$27,$B119,IF($L119="A",$F119+5,$F119))),"")</f>
        <v/>
      </c>
      <c r="O119" s="29" t="str">
        <f t="shared" si="16"/>
        <v/>
      </c>
      <c r="P119" s="10" t="str">
        <f t="shared" si="17"/>
        <v/>
      </c>
      <c r="Q119" s="10" t="str">
        <f t="shared" si="18"/>
        <v/>
      </c>
      <c r="R119" s="10">
        <f t="shared" si="19"/>
        <v>1</v>
      </c>
    </row>
    <row r="120" spans="1:18" ht="26.4" x14ac:dyDescent="0.3">
      <c r="A120" s="23">
        <v>119</v>
      </c>
      <c r="B120" s="23">
        <v>24</v>
      </c>
      <c r="C120" s="23" t="s">
        <v>69</v>
      </c>
      <c r="D120" s="32" t="s">
        <v>24</v>
      </c>
      <c r="E120" s="32" t="s">
        <v>37</v>
      </c>
      <c r="F120" s="23">
        <v>4</v>
      </c>
      <c r="G120" s="23"/>
      <c r="H120" s="33"/>
      <c r="I120" s="28">
        <v>0.8</v>
      </c>
      <c r="J120" s="28">
        <v>0.6</v>
      </c>
      <c r="K120" s="29">
        <f t="shared" si="15"/>
        <v>-0.20000000000000007</v>
      </c>
      <c r="L120" s="12" t="str">
        <f>VLOOKUP(TEXT(B120,"00"),'Blinding key'!$A$2:$G$26,7,FALSE())</f>
        <v>A</v>
      </c>
      <c r="M120" s="30" t="str">
        <f>IFERROR(AVERAGE(INDEX('R1'!$D$3:$M$27,$B120,IF($L120="A",$F120,$F120+5)),INDEX('R2'!$D$3:$M$27,$B120,IF($L120="A",$F120,$F120+5)),INDEX('R3'!$D$3:$M$27,$B120,IF($L120="A",$F120,$F120+5))),"")</f>
        <v/>
      </c>
      <c r="N120" s="30" t="str">
        <f>IFERROR(AVERAGE(INDEX('R1'!$D$3:$M$27,$B120,IF($L120="A",$F120+5,$F120)),INDEX('R2'!$D$3:$M$27,$B120,IF($L120="A",$F120+5,$F120)),INDEX('R3'!$D$3:$M$27,$B120,IF($L120="A",$F120+5,$F120))),"")</f>
        <v/>
      </c>
      <c r="O120" s="29" t="str">
        <f t="shared" si="16"/>
        <v/>
      </c>
      <c r="P120" s="10" t="str">
        <f t="shared" si="17"/>
        <v/>
      </c>
      <c r="Q120" s="10" t="str">
        <f t="shared" si="18"/>
        <v/>
      </c>
      <c r="R120" s="10" t="str">
        <f t="shared" si="19"/>
        <v/>
      </c>
    </row>
    <row r="121" spans="1:18" ht="26.4" x14ac:dyDescent="0.3">
      <c r="A121" s="23">
        <v>120</v>
      </c>
      <c r="B121" s="23">
        <v>24</v>
      </c>
      <c r="C121" s="23" t="s">
        <v>69</v>
      </c>
      <c r="D121" s="32" t="s">
        <v>24</v>
      </c>
      <c r="E121" s="32" t="s">
        <v>103</v>
      </c>
      <c r="F121" s="23">
        <v>5</v>
      </c>
      <c r="G121" s="23"/>
      <c r="H121" s="33"/>
      <c r="I121" s="28">
        <v>0.3</v>
      </c>
      <c r="J121" s="28">
        <v>0.2</v>
      </c>
      <c r="K121" s="29">
        <f t="shared" si="15"/>
        <v>-9.9999999999999978E-2</v>
      </c>
      <c r="L121" s="12" t="str">
        <f>VLOOKUP(TEXT(B121,"00"),'Blinding key'!$A$2:$G$26,7,FALSE())</f>
        <v>A</v>
      </c>
      <c r="M121" s="30" t="str">
        <f>IFERROR(AVERAGE(INDEX('R1'!$D$3:$M$27,$B121,IF($L121="A",$F121,$F121+5)),INDEX('R2'!$D$3:$M$27,$B121,IF($L121="A",$F121,$F121+5)),INDEX('R3'!$D$3:$M$27,$B121,IF($L121="A",$F121,$F121+5))),"")</f>
        <v/>
      </c>
      <c r="N121" s="30" t="str">
        <f>IFERROR(AVERAGE(INDEX('R1'!$D$3:$M$27,$B121,IF($L121="A",$F121+5,$F121)),INDEX('R2'!$D$3:$M$27,$B121,IF($L121="A",$F121+5,$F121)),INDEX('R3'!$D$3:$M$27,$B121,IF($L121="A",$F121+5,$F121))),"")</f>
        <v/>
      </c>
      <c r="O121" s="29" t="str">
        <f t="shared" si="16"/>
        <v/>
      </c>
      <c r="P121" s="10" t="str">
        <f t="shared" si="17"/>
        <v/>
      </c>
      <c r="Q121" s="10" t="str">
        <f t="shared" si="18"/>
        <v/>
      </c>
      <c r="R121" s="10" t="str">
        <f t="shared" si="19"/>
        <v/>
      </c>
    </row>
    <row r="122" spans="1:18" x14ac:dyDescent="0.3">
      <c r="A122" s="17">
        <v>121</v>
      </c>
      <c r="B122" s="17">
        <v>25</v>
      </c>
      <c r="C122" s="17" t="s">
        <v>71</v>
      </c>
      <c r="D122" s="26" t="s">
        <v>13</v>
      </c>
      <c r="E122" s="26" t="s">
        <v>74</v>
      </c>
      <c r="F122" s="17">
        <v>1</v>
      </c>
      <c r="G122" s="17"/>
      <c r="H122" s="27"/>
      <c r="I122" s="28">
        <v>0.5</v>
      </c>
      <c r="J122" s="28">
        <v>0.3</v>
      </c>
      <c r="K122" s="29">
        <f t="shared" si="15"/>
        <v>-0.2</v>
      </c>
      <c r="L122" s="12" t="str">
        <f>VLOOKUP(TEXT(B122,"00"),'Blinding key'!$A$2:$G$26,7,FALSE())</f>
        <v>B</v>
      </c>
      <c r="M122" s="30" t="str">
        <f>IFERROR(AVERAGE(INDEX('R1'!$D$3:$M$27,$B122,IF($L122="A",$F122,$F122+5)),INDEX('R2'!$D$3:$M$27,$B122,IF($L122="A",$F122,$F122+5)),INDEX('R3'!$D$3:$M$27,$B122,IF($L122="A",$F122,$F122+5))),"")</f>
        <v/>
      </c>
      <c r="N122" s="30" t="str">
        <f>IFERROR(AVERAGE(INDEX('R1'!$D$3:$M$27,$B122,IF($L122="A",$F122+5,$F122)),INDEX('R2'!$D$3:$M$27,$B122,IF($L122="A",$F122+5,$F122)),INDEX('R3'!$D$3:$M$27,$B122,IF($L122="A",$F122+5,$F122))),"")</f>
        <v/>
      </c>
      <c r="O122" s="29" t="str">
        <f t="shared" si="16"/>
        <v/>
      </c>
      <c r="P122" s="10" t="str">
        <f t="shared" si="17"/>
        <v/>
      </c>
      <c r="Q122" s="10" t="str">
        <f t="shared" si="18"/>
        <v/>
      </c>
      <c r="R122" s="10" t="str">
        <f t="shared" si="19"/>
        <v/>
      </c>
    </row>
    <row r="123" spans="1:18" x14ac:dyDescent="0.3">
      <c r="A123" s="17">
        <v>122</v>
      </c>
      <c r="B123" s="17">
        <v>25</v>
      </c>
      <c r="C123" s="17" t="s">
        <v>71</v>
      </c>
      <c r="D123" s="26" t="s">
        <v>13</v>
      </c>
      <c r="E123" s="31" t="s">
        <v>15</v>
      </c>
      <c r="F123" s="17">
        <v>2</v>
      </c>
      <c r="G123" s="17" t="s">
        <v>102</v>
      </c>
      <c r="H123" s="27">
        <v>0.5</v>
      </c>
      <c r="I123" s="28">
        <v>0.8</v>
      </c>
      <c r="J123" s="28">
        <v>0.4</v>
      </c>
      <c r="K123" s="29">
        <f t="shared" si="15"/>
        <v>-0.4</v>
      </c>
      <c r="L123" s="12" t="str">
        <f>VLOOKUP(TEXT(B123,"00"),'Blinding key'!$A$2:$G$26,7,FALSE())</f>
        <v>B</v>
      </c>
      <c r="M123" s="30" t="str">
        <f>IFERROR(AVERAGE(INDEX('R1'!$D$3:$M$27,$B123,IF($L123="A",$F123,$F123+5)),INDEX('R2'!$D$3:$M$27,$B123,IF($L123="A",$F123,$F123+5)),INDEX('R3'!$D$3:$M$27,$B123,IF($L123="A",$F123,$F123+5))),"")</f>
        <v/>
      </c>
      <c r="N123" s="30" t="str">
        <f>IFERROR(AVERAGE(INDEX('R1'!$D$3:$M$27,$B123,IF($L123="A",$F123+5,$F123)),INDEX('R2'!$D$3:$M$27,$B123,IF($L123="A",$F123+5,$F123)),INDEX('R3'!$D$3:$M$27,$B123,IF($L123="A",$F123+5,$F123))),"")</f>
        <v/>
      </c>
      <c r="O123" s="29" t="str">
        <f t="shared" si="16"/>
        <v/>
      </c>
      <c r="P123" s="10" t="str">
        <f t="shared" si="17"/>
        <v/>
      </c>
      <c r="Q123" s="10" t="str">
        <f t="shared" si="18"/>
        <v/>
      </c>
      <c r="R123" s="10">
        <f t="shared" si="19"/>
        <v>1</v>
      </c>
    </row>
    <row r="124" spans="1:18" x14ac:dyDescent="0.3">
      <c r="A124" s="17">
        <v>123</v>
      </c>
      <c r="B124" s="17">
        <v>25</v>
      </c>
      <c r="C124" s="17" t="s">
        <v>71</v>
      </c>
      <c r="D124" s="26" t="s">
        <v>13</v>
      </c>
      <c r="E124" s="26" t="s">
        <v>26</v>
      </c>
      <c r="F124" s="17">
        <v>3</v>
      </c>
      <c r="G124" s="17"/>
      <c r="H124" s="27"/>
      <c r="I124" s="28">
        <v>0.2</v>
      </c>
      <c r="J124" s="28">
        <v>0.2</v>
      </c>
      <c r="K124" s="29">
        <f t="shared" si="15"/>
        <v>0</v>
      </c>
      <c r="L124" s="12" t="str">
        <f>VLOOKUP(TEXT(B124,"00"),'Blinding key'!$A$2:$G$26,7,FALSE())</f>
        <v>B</v>
      </c>
      <c r="M124" s="30" t="str">
        <f>IFERROR(AVERAGE(INDEX('R1'!$D$3:$M$27,$B124,IF($L124="A",$F124,$F124+5)),INDEX('R2'!$D$3:$M$27,$B124,IF($L124="A",$F124,$F124+5)),INDEX('R3'!$D$3:$M$27,$B124,IF($L124="A",$F124,$F124+5))),"")</f>
        <v/>
      </c>
      <c r="N124" s="30" t="str">
        <f>IFERROR(AVERAGE(INDEX('R1'!$D$3:$M$27,$B124,IF($L124="A",$F124+5,$F124)),INDEX('R2'!$D$3:$M$27,$B124,IF($L124="A",$F124+5,$F124)),INDEX('R3'!$D$3:$M$27,$B124,IF($L124="A",$F124+5,$F124))),"")</f>
        <v/>
      </c>
      <c r="O124" s="29" t="str">
        <f t="shared" si="16"/>
        <v/>
      </c>
      <c r="P124" s="10" t="str">
        <f t="shared" si="17"/>
        <v/>
      </c>
      <c r="Q124" s="10" t="str">
        <f t="shared" si="18"/>
        <v/>
      </c>
      <c r="R124" s="10" t="str">
        <f t="shared" si="19"/>
        <v/>
      </c>
    </row>
    <row r="125" spans="1:18" x14ac:dyDescent="0.3">
      <c r="A125" s="17">
        <v>124</v>
      </c>
      <c r="B125" s="17">
        <v>25</v>
      </c>
      <c r="C125" s="17" t="s">
        <v>71</v>
      </c>
      <c r="D125" s="26" t="s">
        <v>13</v>
      </c>
      <c r="E125" s="26" t="s">
        <v>37</v>
      </c>
      <c r="F125" s="17">
        <v>4</v>
      </c>
      <c r="G125" s="17"/>
      <c r="H125" s="27"/>
      <c r="I125" s="28">
        <v>0.9</v>
      </c>
      <c r="J125" s="28">
        <v>0.5</v>
      </c>
      <c r="K125" s="29">
        <f t="shared" si="15"/>
        <v>-0.4</v>
      </c>
      <c r="L125" s="12" t="str">
        <f>VLOOKUP(TEXT(B125,"00"),'Blinding key'!$A$2:$G$26,7,FALSE())</f>
        <v>B</v>
      </c>
      <c r="M125" s="30" t="str">
        <f>IFERROR(AVERAGE(INDEX('R1'!$D$3:$M$27,$B125,IF($L125="A",$F125,$F125+5)),INDEX('R2'!$D$3:$M$27,$B125,IF($L125="A",$F125,$F125+5)),INDEX('R3'!$D$3:$M$27,$B125,IF($L125="A",$F125,$F125+5))),"")</f>
        <v/>
      </c>
      <c r="N125" s="30" t="str">
        <f>IFERROR(AVERAGE(INDEX('R1'!$D$3:$M$27,$B125,IF($L125="A",$F125+5,$F125)),INDEX('R2'!$D$3:$M$27,$B125,IF($L125="A",$F125+5,$F125)),INDEX('R3'!$D$3:$M$27,$B125,IF($L125="A",$F125+5,$F125))),"")</f>
        <v/>
      </c>
      <c r="O125" s="29" t="str">
        <f t="shared" si="16"/>
        <v/>
      </c>
      <c r="P125" s="10" t="str">
        <f t="shared" si="17"/>
        <v/>
      </c>
      <c r="Q125" s="10" t="str">
        <f t="shared" si="18"/>
        <v/>
      </c>
      <c r="R125" s="10" t="str">
        <f t="shared" si="19"/>
        <v/>
      </c>
    </row>
    <row r="126" spans="1:18" x14ac:dyDescent="0.3">
      <c r="A126" s="17">
        <v>125</v>
      </c>
      <c r="B126" s="17">
        <v>25</v>
      </c>
      <c r="C126" s="17" t="s">
        <v>71</v>
      </c>
      <c r="D126" s="26" t="s">
        <v>13</v>
      </c>
      <c r="E126" s="26" t="s">
        <v>103</v>
      </c>
      <c r="F126" s="17">
        <v>5</v>
      </c>
      <c r="G126" s="17"/>
      <c r="H126" s="27"/>
      <c r="I126" s="28">
        <v>0.3</v>
      </c>
      <c r="J126" s="28">
        <v>0.1</v>
      </c>
      <c r="K126" s="29">
        <f t="shared" si="15"/>
        <v>-0.19999999999999998</v>
      </c>
      <c r="L126" s="12" t="str">
        <f>VLOOKUP(TEXT(B126,"00"),'Blinding key'!$A$2:$G$26,7,FALSE())</f>
        <v>B</v>
      </c>
      <c r="M126" s="30" t="str">
        <f>IFERROR(AVERAGE(INDEX('R1'!$D$3:$M$27,$B126,IF($L126="A",$F126,$F126+5)),INDEX('R2'!$D$3:$M$27,$B126,IF($L126="A",$F126,$F126+5)),INDEX('R3'!$D$3:$M$27,$B126,IF($L126="A",$F126,$F126+5))),"")</f>
        <v/>
      </c>
      <c r="N126" s="30" t="str">
        <f>IFERROR(AVERAGE(INDEX('R1'!$D$3:$M$27,$B126,IF($L126="A",$F126+5,$F126)),INDEX('R2'!$D$3:$M$27,$B126,IF($L126="A",$F126+5,$F126)),INDEX('R3'!$D$3:$M$27,$B126,IF($L126="A",$F126+5,$F126))),"")</f>
        <v/>
      </c>
      <c r="O126" s="29" t="str">
        <f t="shared" si="16"/>
        <v/>
      </c>
      <c r="P126" s="10" t="str">
        <f t="shared" si="17"/>
        <v/>
      </c>
      <c r="Q126" s="10" t="str">
        <f t="shared" si="18"/>
        <v/>
      </c>
      <c r="R126" s="10" t="str">
        <f t="shared" si="19"/>
        <v/>
      </c>
    </row>
  </sheetData>
  <sheetProtection sheet="1" formatColumns="0" formatRows="0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9" customWidth="1"/>
    <col min="3" max="5" width="11" customWidth="1"/>
    <col min="6" max="8" width="13" customWidth="1"/>
    <col min="9" max="11" width="12" customWidth="1"/>
    <col min="12" max="12" width="15" customWidth="1"/>
  </cols>
  <sheetData>
    <row r="1" spans="1:12" ht="43.5" customHeight="1" x14ac:dyDescent="0.3">
      <c r="A1" s="9" t="s">
        <v>3</v>
      </c>
      <c r="B1" s="9" t="s">
        <v>95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</row>
    <row r="2" spans="1:12" x14ac:dyDescent="0.3">
      <c r="A2" s="12" t="s">
        <v>11</v>
      </c>
      <c r="B2" s="12" t="str">
        <f>VLOOKUP(A2,'Blinding key'!$A$2:$G$26,7,FALSE())</f>
        <v>B</v>
      </c>
      <c r="C2" s="30" t="str">
        <f>IFERROR(AVERAGE(INDEX('R1'!$D$3:$U$27,1,IF($B2="A",14,15)),INDEX('R2'!$D$3:$U$27,1,IF($B2="A",14,15)),INDEX('R3'!$D$3:$U$27,1,IF($B2="A",14,15))),"")</f>
        <v/>
      </c>
      <c r="D2" s="30" t="str">
        <f>IFERROR(AVERAGE(INDEX('R1'!$D$3:$U$27,1,IF($B2="A",15,14)),INDEX('R2'!$D$3:$U$27,1,IF($B2="A",15,14)),INDEX('R3'!$D$3:$U$27,1,IF($B2="A",15,14))),"")</f>
        <v/>
      </c>
      <c r="E2" s="29" t="str">
        <f t="shared" ref="E2:E26" si="0">IF(OR(C2="",D2=""),"",D2-C2)</f>
        <v/>
      </c>
      <c r="F2" s="30" t="str">
        <f>IFERROR(AVERAGE(INDEX('R1'!$D$3:$U$27,1,IF($B2="A",16,17)),INDEX('R2'!$D$3:$U$27,1,IF($B2="A",16,17)),INDEX('R3'!$D$3:$U$27,1,IF($B2="A",16,17))),"")</f>
        <v/>
      </c>
      <c r="G2" s="30" t="str">
        <f>IFERROR(AVERAGE(INDEX('R1'!$D$3:$U$27,1,IF($B2="A",17,16)),INDEX('R2'!$D$3:$U$27,1,IF($B2="A",17,16)),INDEX('R3'!$D$3:$U$27,1,IF($B2="A",17,16))),"")</f>
        <v/>
      </c>
      <c r="H2" s="29" t="str">
        <f t="shared" ref="H2:H26" si="1">IF(OR(F2="",G2=""),"",G2-F2)</f>
        <v/>
      </c>
      <c r="I2" s="10">
        <f>(INDEX('R1'!$D$3:$U$27,1,11)="Different")+(INDEX('R2'!$D$3:$U$27,1,11)="Different")+(INDEX('R3'!$D$3:$U$27,1,11)="Different")</f>
        <v>0</v>
      </c>
      <c r="J2" s="10">
        <f>(INDEX('R1'!$D$3:$U$27,1,12)="Different")+(INDEX('R2'!$D$3:$U$27,1,12)="Different")+(INDEX('R3'!$D$3:$U$27,1,12)="Different")</f>
        <v>0</v>
      </c>
      <c r="K2" s="10">
        <f>(INDEX('R1'!$D$3:$U$27,1,13)="Different")+(INDEX('R2'!$D$3:$U$27,1,13)="Different")+(INDEX('R3'!$D$3:$U$27,1,13)="Different")</f>
        <v>0</v>
      </c>
      <c r="L2" s="10" t="str">
        <f t="shared" ref="L2:L26" si="2">IF(C2="","",IF(OR(I2&gt;=2,J2&gt;=2,K2&gt;=2),1,0))</f>
        <v/>
      </c>
    </row>
    <row r="3" spans="1:12" x14ac:dyDescent="0.3">
      <c r="A3" s="12" t="s">
        <v>18</v>
      </c>
      <c r="B3" s="12" t="str">
        <f>VLOOKUP(A3,'Blinding key'!$A$2:$G$26,7,FALSE())</f>
        <v>A</v>
      </c>
      <c r="C3" s="30" t="str">
        <f>IFERROR(AVERAGE(INDEX('R1'!$D$3:$U$27,2,IF($B3="A",14,15)),INDEX('R2'!$D$3:$U$27,2,IF($B3="A",14,15)),INDEX('R3'!$D$3:$U$27,2,IF($B3="A",14,15))),"")</f>
        <v/>
      </c>
      <c r="D3" s="30" t="str">
        <f>IFERROR(AVERAGE(INDEX('R1'!$D$3:$U$27,2,IF($B3="A",15,14)),INDEX('R2'!$D$3:$U$27,2,IF($B3="A",15,14)),INDEX('R3'!$D$3:$U$27,2,IF($B3="A",15,14))),"")</f>
        <v/>
      </c>
      <c r="E3" s="29" t="str">
        <f t="shared" si="0"/>
        <v/>
      </c>
      <c r="F3" s="30" t="str">
        <f>IFERROR(AVERAGE(INDEX('R1'!$D$3:$U$27,2,IF($B3="A",16,17)),INDEX('R2'!$D$3:$U$27,2,IF($B3="A",16,17)),INDEX('R3'!$D$3:$U$27,2,IF($B3="A",16,17))),"")</f>
        <v/>
      </c>
      <c r="G3" s="30" t="str">
        <f>IFERROR(AVERAGE(INDEX('R1'!$D$3:$U$27,2,IF($B3="A",17,16)),INDEX('R2'!$D$3:$U$27,2,IF($B3="A",17,16)),INDEX('R3'!$D$3:$U$27,2,IF($B3="A",17,16))),"")</f>
        <v/>
      </c>
      <c r="H3" s="29" t="str">
        <f t="shared" si="1"/>
        <v/>
      </c>
      <c r="I3" s="10">
        <f>(INDEX('R1'!$D$3:$U$27,2,11)="Different")+(INDEX('R2'!$D$3:$U$27,2,11)="Different")+(INDEX('R3'!$D$3:$U$27,2,11)="Different")</f>
        <v>0</v>
      </c>
      <c r="J3" s="10">
        <f>(INDEX('R1'!$D$3:$U$27,2,12)="Different")+(INDEX('R2'!$D$3:$U$27,2,12)="Different")+(INDEX('R3'!$D$3:$U$27,2,12)="Different")</f>
        <v>0</v>
      </c>
      <c r="K3" s="10">
        <f>(INDEX('R1'!$D$3:$U$27,2,13)="Different")+(INDEX('R2'!$D$3:$U$27,2,13)="Different")+(INDEX('R3'!$D$3:$U$27,2,13)="Different")</f>
        <v>0</v>
      </c>
      <c r="L3" s="10" t="str">
        <f t="shared" si="2"/>
        <v/>
      </c>
    </row>
    <row r="4" spans="1:12" x14ac:dyDescent="0.3">
      <c r="A4" s="12" t="s">
        <v>20</v>
      </c>
      <c r="B4" s="12" t="str">
        <f>VLOOKUP(A4,'Blinding key'!$A$2:$G$26,7,FALSE())</f>
        <v>A</v>
      </c>
      <c r="C4" s="30" t="str">
        <f>IFERROR(AVERAGE(INDEX('R1'!$D$3:$U$27,3,IF($B4="A",14,15)),INDEX('R2'!$D$3:$U$27,3,IF($B4="A",14,15)),INDEX('R3'!$D$3:$U$27,3,IF($B4="A",14,15))),"")</f>
        <v/>
      </c>
      <c r="D4" s="30" t="str">
        <f>IFERROR(AVERAGE(INDEX('R1'!$D$3:$U$27,3,IF($B4="A",15,14)),INDEX('R2'!$D$3:$U$27,3,IF($B4="A",15,14)),INDEX('R3'!$D$3:$U$27,3,IF($B4="A",15,14))),"")</f>
        <v/>
      </c>
      <c r="E4" s="29" t="str">
        <f t="shared" si="0"/>
        <v/>
      </c>
      <c r="F4" s="30" t="str">
        <f>IFERROR(AVERAGE(INDEX('R1'!$D$3:$U$27,3,IF($B4="A",16,17)),INDEX('R2'!$D$3:$U$27,3,IF($B4="A",16,17)),INDEX('R3'!$D$3:$U$27,3,IF($B4="A",16,17))),"")</f>
        <v/>
      </c>
      <c r="G4" s="30" t="str">
        <f>IFERROR(AVERAGE(INDEX('R1'!$D$3:$U$27,3,IF($B4="A",17,16)),INDEX('R2'!$D$3:$U$27,3,IF($B4="A",17,16)),INDEX('R3'!$D$3:$U$27,3,IF($B4="A",17,16))),"")</f>
        <v/>
      </c>
      <c r="H4" s="29" t="str">
        <f t="shared" si="1"/>
        <v/>
      </c>
      <c r="I4" s="10">
        <f>(INDEX('R1'!$D$3:$U$27,3,11)="Different")+(INDEX('R2'!$D$3:$U$27,3,11)="Different")+(INDEX('R3'!$D$3:$U$27,3,11)="Different")</f>
        <v>0</v>
      </c>
      <c r="J4" s="10">
        <f>(INDEX('R1'!$D$3:$U$27,3,12)="Different")+(INDEX('R2'!$D$3:$U$27,3,12)="Different")+(INDEX('R3'!$D$3:$U$27,3,12)="Different")</f>
        <v>0</v>
      </c>
      <c r="K4" s="10">
        <f>(INDEX('R1'!$D$3:$U$27,3,13)="Different")+(INDEX('R2'!$D$3:$U$27,3,13)="Different")+(INDEX('R3'!$D$3:$U$27,3,13)="Different")</f>
        <v>0</v>
      </c>
      <c r="L4" s="10" t="str">
        <f t="shared" si="2"/>
        <v/>
      </c>
    </row>
    <row r="5" spans="1:12" x14ac:dyDescent="0.3">
      <c r="A5" s="12" t="s">
        <v>22</v>
      </c>
      <c r="B5" s="12" t="str">
        <f>VLOOKUP(A5,'Blinding key'!$A$2:$G$26,7,FALSE())</f>
        <v>B</v>
      </c>
      <c r="C5" s="30" t="str">
        <f>IFERROR(AVERAGE(INDEX('R1'!$D$3:$U$27,4,IF($B5="A",14,15)),INDEX('R2'!$D$3:$U$27,4,IF($B5="A",14,15)),INDEX('R3'!$D$3:$U$27,4,IF($B5="A",14,15))),"")</f>
        <v/>
      </c>
      <c r="D5" s="30" t="str">
        <f>IFERROR(AVERAGE(INDEX('R1'!$D$3:$U$27,4,IF($B5="A",15,14)),INDEX('R2'!$D$3:$U$27,4,IF($B5="A",15,14)),INDEX('R3'!$D$3:$U$27,4,IF($B5="A",15,14))),"")</f>
        <v/>
      </c>
      <c r="E5" s="29" t="str">
        <f t="shared" si="0"/>
        <v/>
      </c>
      <c r="F5" s="30" t="str">
        <f>IFERROR(AVERAGE(INDEX('R1'!$D$3:$U$27,4,IF($B5="A",16,17)),INDEX('R2'!$D$3:$U$27,4,IF($B5="A",16,17)),INDEX('R3'!$D$3:$U$27,4,IF($B5="A",16,17))),"")</f>
        <v/>
      </c>
      <c r="G5" s="30" t="str">
        <f>IFERROR(AVERAGE(INDEX('R1'!$D$3:$U$27,4,IF($B5="A",17,16)),INDEX('R2'!$D$3:$U$27,4,IF($B5="A",17,16)),INDEX('R3'!$D$3:$U$27,4,IF($B5="A",17,16))),"")</f>
        <v/>
      </c>
      <c r="H5" s="29" t="str">
        <f t="shared" si="1"/>
        <v/>
      </c>
      <c r="I5" s="10">
        <f>(INDEX('R1'!$D$3:$U$27,4,11)="Different")+(INDEX('R2'!$D$3:$U$27,4,11)="Different")+(INDEX('R3'!$D$3:$U$27,4,11)="Different")</f>
        <v>0</v>
      </c>
      <c r="J5" s="10">
        <f>(INDEX('R1'!$D$3:$U$27,4,12)="Different")+(INDEX('R2'!$D$3:$U$27,4,12)="Different")+(INDEX('R3'!$D$3:$U$27,4,12)="Different")</f>
        <v>0</v>
      </c>
      <c r="K5" s="10">
        <f>(INDEX('R1'!$D$3:$U$27,4,13)="Different")+(INDEX('R2'!$D$3:$U$27,4,13)="Different")+(INDEX('R3'!$D$3:$U$27,4,13)="Different")</f>
        <v>0</v>
      </c>
      <c r="L5" s="10" t="str">
        <f t="shared" si="2"/>
        <v/>
      </c>
    </row>
    <row r="6" spans="1:12" x14ac:dyDescent="0.3">
      <c r="A6" s="12" t="s">
        <v>27</v>
      </c>
      <c r="B6" s="12" t="str">
        <f>VLOOKUP(A6,'Blinding key'!$A$2:$G$26,7,FALSE())</f>
        <v>B</v>
      </c>
      <c r="C6" s="30" t="str">
        <f>IFERROR(AVERAGE(INDEX('R1'!$D$3:$U$27,5,IF($B6="A",14,15)),INDEX('R2'!$D$3:$U$27,5,IF($B6="A",14,15)),INDEX('R3'!$D$3:$U$27,5,IF($B6="A",14,15))),"")</f>
        <v/>
      </c>
      <c r="D6" s="30" t="str">
        <f>IFERROR(AVERAGE(INDEX('R1'!$D$3:$U$27,5,IF($B6="A",15,14)),INDEX('R2'!$D$3:$U$27,5,IF($B6="A",15,14)),INDEX('R3'!$D$3:$U$27,5,IF($B6="A",15,14))),"")</f>
        <v/>
      </c>
      <c r="E6" s="29" t="str">
        <f t="shared" si="0"/>
        <v/>
      </c>
      <c r="F6" s="30" t="str">
        <f>IFERROR(AVERAGE(INDEX('R1'!$D$3:$U$27,5,IF($B6="A",16,17)),INDEX('R2'!$D$3:$U$27,5,IF($B6="A",16,17)),INDEX('R3'!$D$3:$U$27,5,IF($B6="A",16,17))),"")</f>
        <v/>
      </c>
      <c r="G6" s="30" t="str">
        <f>IFERROR(AVERAGE(INDEX('R1'!$D$3:$U$27,5,IF($B6="A",17,16)),INDEX('R2'!$D$3:$U$27,5,IF($B6="A",17,16)),INDEX('R3'!$D$3:$U$27,5,IF($B6="A",17,16))),"")</f>
        <v/>
      </c>
      <c r="H6" s="29" t="str">
        <f t="shared" si="1"/>
        <v/>
      </c>
      <c r="I6" s="10">
        <f>(INDEX('R1'!$D$3:$U$27,5,11)="Different")+(INDEX('R2'!$D$3:$U$27,5,11)="Different")+(INDEX('R3'!$D$3:$U$27,5,11)="Different")</f>
        <v>0</v>
      </c>
      <c r="J6" s="10">
        <f>(INDEX('R1'!$D$3:$U$27,5,12)="Different")+(INDEX('R2'!$D$3:$U$27,5,12)="Different")+(INDEX('R3'!$D$3:$U$27,5,12)="Different")</f>
        <v>0</v>
      </c>
      <c r="K6" s="10">
        <f>(INDEX('R1'!$D$3:$U$27,5,13)="Different")+(INDEX('R2'!$D$3:$U$27,5,13)="Different")+(INDEX('R3'!$D$3:$U$27,5,13)="Different")</f>
        <v>0</v>
      </c>
      <c r="L6" s="10" t="str">
        <f t="shared" si="2"/>
        <v/>
      </c>
    </row>
    <row r="7" spans="1:12" x14ac:dyDescent="0.3">
      <c r="A7" s="12" t="s">
        <v>29</v>
      </c>
      <c r="B7" s="12" t="str">
        <f>VLOOKUP(A7,'Blinding key'!$A$2:$G$26,7,FALSE())</f>
        <v>A</v>
      </c>
      <c r="C7" s="30" t="str">
        <f>IFERROR(AVERAGE(INDEX('R1'!$D$3:$U$27,6,IF($B7="A",14,15)),INDEX('R2'!$D$3:$U$27,6,IF($B7="A",14,15)),INDEX('R3'!$D$3:$U$27,6,IF($B7="A",14,15))),"")</f>
        <v/>
      </c>
      <c r="D7" s="30" t="str">
        <f>IFERROR(AVERAGE(INDEX('R1'!$D$3:$U$27,6,IF($B7="A",15,14)),INDEX('R2'!$D$3:$U$27,6,IF($B7="A",15,14)),INDEX('R3'!$D$3:$U$27,6,IF($B7="A",15,14))),"")</f>
        <v/>
      </c>
      <c r="E7" s="29" t="str">
        <f t="shared" si="0"/>
        <v/>
      </c>
      <c r="F7" s="30" t="str">
        <f>IFERROR(AVERAGE(INDEX('R1'!$D$3:$U$27,6,IF($B7="A",16,17)),INDEX('R2'!$D$3:$U$27,6,IF($B7="A",16,17)),INDEX('R3'!$D$3:$U$27,6,IF($B7="A",16,17))),"")</f>
        <v/>
      </c>
      <c r="G7" s="30" t="str">
        <f>IFERROR(AVERAGE(INDEX('R1'!$D$3:$U$27,6,IF($B7="A",17,16)),INDEX('R2'!$D$3:$U$27,6,IF($B7="A",17,16)),INDEX('R3'!$D$3:$U$27,6,IF($B7="A",17,16))),"")</f>
        <v/>
      </c>
      <c r="H7" s="29" t="str">
        <f t="shared" si="1"/>
        <v/>
      </c>
      <c r="I7" s="10">
        <f>(INDEX('R1'!$D$3:$U$27,6,11)="Different")+(INDEX('R2'!$D$3:$U$27,6,11)="Different")+(INDEX('R3'!$D$3:$U$27,6,11)="Different")</f>
        <v>0</v>
      </c>
      <c r="J7" s="10">
        <f>(INDEX('R1'!$D$3:$U$27,6,12)="Different")+(INDEX('R2'!$D$3:$U$27,6,12)="Different")+(INDEX('R3'!$D$3:$U$27,6,12)="Different")</f>
        <v>0</v>
      </c>
      <c r="K7" s="10">
        <f>(INDEX('R1'!$D$3:$U$27,6,13)="Different")+(INDEX('R2'!$D$3:$U$27,6,13)="Different")+(INDEX('R3'!$D$3:$U$27,6,13)="Different")</f>
        <v>0</v>
      </c>
      <c r="L7" s="10" t="str">
        <f t="shared" si="2"/>
        <v/>
      </c>
    </row>
    <row r="8" spans="1:12" x14ac:dyDescent="0.3">
      <c r="A8" s="12" t="s">
        <v>31</v>
      </c>
      <c r="B8" s="12" t="str">
        <f>VLOOKUP(A8,'Blinding key'!$A$2:$G$26,7,FALSE())</f>
        <v>A</v>
      </c>
      <c r="C8" s="30" t="str">
        <f>IFERROR(AVERAGE(INDEX('R1'!$D$3:$U$27,7,IF($B8="A",14,15)),INDEX('R2'!$D$3:$U$27,7,IF($B8="A",14,15)),INDEX('R3'!$D$3:$U$27,7,IF($B8="A",14,15))),"")</f>
        <v/>
      </c>
      <c r="D8" s="30" t="str">
        <f>IFERROR(AVERAGE(INDEX('R1'!$D$3:$U$27,7,IF($B8="A",15,14)),INDEX('R2'!$D$3:$U$27,7,IF($B8="A",15,14)),INDEX('R3'!$D$3:$U$27,7,IF($B8="A",15,14))),"")</f>
        <v/>
      </c>
      <c r="E8" s="29" t="str">
        <f t="shared" si="0"/>
        <v/>
      </c>
      <c r="F8" s="30" t="str">
        <f>IFERROR(AVERAGE(INDEX('R1'!$D$3:$U$27,7,IF($B8="A",16,17)),INDEX('R2'!$D$3:$U$27,7,IF($B8="A",16,17)),INDEX('R3'!$D$3:$U$27,7,IF($B8="A",16,17))),"")</f>
        <v/>
      </c>
      <c r="G8" s="30" t="str">
        <f>IFERROR(AVERAGE(INDEX('R1'!$D$3:$U$27,7,IF($B8="A",17,16)),INDEX('R2'!$D$3:$U$27,7,IF($B8="A",17,16)),INDEX('R3'!$D$3:$U$27,7,IF($B8="A",17,16))),"")</f>
        <v/>
      </c>
      <c r="H8" s="29" t="str">
        <f t="shared" si="1"/>
        <v/>
      </c>
      <c r="I8" s="10">
        <f>(INDEX('R1'!$D$3:$U$27,7,11)="Different")+(INDEX('R2'!$D$3:$U$27,7,11)="Different")+(INDEX('R3'!$D$3:$U$27,7,11)="Different")</f>
        <v>0</v>
      </c>
      <c r="J8" s="10">
        <f>(INDEX('R1'!$D$3:$U$27,7,12)="Different")+(INDEX('R2'!$D$3:$U$27,7,12)="Different")+(INDEX('R3'!$D$3:$U$27,7,12)="Different")</f>
        <v>0</v>
      </c>
      <c r="K8" s="10">
        <f>(INDEX('R1'!$D$3:$U$27,7,13)="Different")+(INDEX('R2'!$D$3:$U$27,7,13)="Different")+(INDEX('R3'!$D$3:$U$27,7,13)="Different")</f>
        <v>0</v>
      </c>
      <c r="L8" s="10" t="str">
        <f t="shared" si="2"/>
        <v/>
      </c>
    </row>
    <row r="9" spans="1:12" x14ac:dyDescent="0.3">
      <c r="A9" s="12" t="s">
        <v>33</v>
      </c>
      <c r="B9" s="12" t="str">
        <f>VLOOKUP(A9,'Blinding key'!$A$2:$G$26,7,FALSE())</f>
        <v>A</v>
      </c>
      <c r="C9" s="30" t="str">
        <f>IFERROR(AVERAGE(INDEX('R1'!$D$3:$U$27,8,IF($B9="A",14,15)),INDEX('R2'!$D$3:$U$27,8,IF($B9="A",14,15)),INDEX('R3'!$D$3:$U$27,8,IF($B9="A",14,15))),"")</f>
        <v/>
      </c>
      <c r="D9" s="30" t="str">
        <f>IFERROR(AVERAGE(INDEX('R1'!$D$3:$U$27,8,IF($B9="A",15,14)),INDEX('R2'!$D$3:$U$27,8,IF($B9="A",15,14)),INDEX('R3'!$D$3:$U$27,8,IF($B9="A",15,14))),"")</f>
        <v/>
      </c>
      <c r="E9" s="29" t="str">
        <f t="shared" si="0"/>
        <v/>
      </c>
      <c r="F9" s="30" t="str">
        <f>IFERROR(AVERAGE(INDEX('R1'!$D$3:$U$27,8,IF($B9="A",16,17)),INDEX('R2'!$D$3:$U$27,8,IF($B9="A",16,17)),INDEX('R3'!$D$3:$U$27,8,IF($B9="A",16,17))),"")</f>
        <v/>
      </c>
      <c r="G9" s="30" t="str">
        <f>IFERROR(AVERAGE(INDEX('R1'!$D$3:$U$27,8,IF($B9="A",17,16)),INDEX('R2'!$D$3:$U$27,8,IF($B9="A",17,16)),INDEX('R3'!$D$3:$U$27,8,IF($B9="A",17,16))),"")</f>
        <v/>
      </c>
      <c r="H9" s="29" t="str">
        <f t="shared" si="1"/>
        <v/>
      </c>
      <c r="I9" s="10">
        <f>(INDEX('R1'!$D$3:$U$27,8,11)="Different")+(INDEX('R2'!$D$3:$U$27,8,11)="Different")+(INDEX('R3'!$D$3:$U$27,8,11)="Different")</f>
        <v>0</v>
      </c>
      <c r="J9" s="10">
        <f>(INDEX('R1'!$D$3:$U$27,8,12)="Different")+(INDEX('R2'!$D$3:$U$27,8,12)="Different")+(INDEX('R3'!$D$3:$U$27,8,12)="Different")</f>
        <v>0</v>
      </c>
      <c r="K9" s="10">
        <f>(INDEX('R1'!$D$3:$U$27,8,13)="Different")+(INDEX('R2'!$D$3:$U$27,8,13)="Different")+(INDEX('R3'!$D$3:$U$27,8,13)="Different")</f>
        <v>0</v>
      </c>
      <c r="L9" s="10" t="str">
        <f t="shared" si="2"/>
        <v/>
      </c>
    </row>
    <row r="10" spans="1:12" x14ac:dyDescent="0.3">
      <c r="A10" s="12" t="s">
        <v>38</v>
      </c>
      <c r="B10" s="12" t="str">
        <f>VLOOKUP(A10,'Blinding key'!$A$2:$G$26,7,FALSE())</f>
        <v>B</v>
      </c>
      <c r="C10" s="30" t="str">
        <f>IFERROR(AVERAGE(INDEX('R1'!$D$3:$U$27,9,IF($B10="A",14,15)),INDEX('R2'!$D$3:$U$27,9,IF($B10="A",14,15)),INDEX('R3'!$D$3:$U$27,9,IF($B10="A",14,15))),"")</f>
        <v/>
      </c>
      <c r="D10" s="30" t="str">
        <f>IFERROR(AVERAGE(INDEX('R1'!$D$3:$U$27,9,IF($B10="A",15,14)),INDEX('R2'!$D$3:$U$27,9,IF($B10="A",15,14)),INDEX('R3'!$D$3:$U$27,9,IF($B10="A",15,14))),"")</f>
        <v/>
      </c>
      <c r="E10" s="29" t="str">
        <f t="shared" si="0"/>
        <v/>
      </c>
      <c r="F10" s="30" t="str">
        <f>IFERROR(AVERAGE(INDEX('R1'!$D$3:$U$27,9,IF($B10="A",16,17)),INDEX('R2'!$D$3:$U$27,9,IF($B10="A",16,17)),INDEX('R3'!$D$3:$U$27,9,IF($B10="A",16,17))),"")</f>
        <v/>
      </c>
      <c r="G10" s="30" t="str">
        <f>IFERROR(AVERAGE(INDEX('R1'!$D$3:$U$27,9,IF($B10="A",17,16)),INDEX('R2'!$D$3:$U$27,9,IF($B10="A",17,16)),INDEX('R3'!$D$3:$U$27,9,IF($B10="A",17,16))),"")</f>
        <v/>
      </c>
      <c r="H10" s="29" t="str">
        <f t="shared" si="1"/>
        <v/>
      </c>
      <c r="I10" s="10">
        <f>(INDEX('R1'!$D$3:$U$27,9,11)="Different")+(INDEX('R2'!$D$3:$U$27,9,11)="Different")+(INDEX('R3'!$D$3:$U$27,9,11)="Different")</f>
        <v>0</v>
      </c>
      <c r="J10" s="10">
        <f>(INDEX('R1'!$D$3:$U$27,9,12)="Different")+(INDEX('R2'!$D$3:$U$27,9,12)="Different")+(INDEX('R3'!$D$3:$U$27,9,12)="Different")</f>
        <v>0</v>
      </c>
      <c r="K10" s="10">
        <f>(INDEX('R1'!$D$3:$U$27,9,13)="Different")+(INDEX('R2'!$D$3:$U$27,9,13)="Different")+(INDEX('R3'!$D$3:$U$27,9,13)="Different")</f>
        <v>0</v>
      </c>
      <c r="L10" s="10" t="str">
        <f t="shared" si="2"/>
        <v/>
      </c>
    </row>
    <row r="11" spans="1:12" x14ac:dyDescent="0.3">
      <c r="A11" s="12" t="s">
        <v>40</v>
      </c>
      <c r="B11" s="12" t="str">
        <f>VLOOKUP(A11,'Blinding key'!$A$2:$G$26,7,FALSE())</f>
        <v>B</v>
      </c>
      <c r="C11" s="30" t="str">
        <f>IFERROR(AVERAGE(INDEX('R1'!$D$3:$U$27,10,IF($B11="A",14,15)),INDEX('R2'!$D$3:$U$27,10,IF($B11="A",14,15)),INDEX('R3'!$D$3:$U$27,10,IF($B11="A",14,15))),"")</f>
        <v/>
      </c>
      <c r="D11" s="30" t="str">
        <f>IFERROR(AVERAGE(INDEX('R1'!$D$3:$U$27,10,IF($B11="A",15,14)),INDEX('R2'!$D$3:$U$27,10,IF($B11="A",15,14)),INDEX('R3'!$D$3:$U$27,10,IF($B11="A",15,14))),"")</f>
        <v/>
      </c>
      <c r="E11" s="29" t="str">
        <f t="shared" si="0"/>
        <v/>
      </c>
      <c r="F11" s="30" t="str">
        <f>IFERROR(AVERAGE(INDEX('R1'!$D$3:$U$27,10,IF($B11="A",16,17)),INDEX('R2'!$D$3:$U$27,10,IF($B11="A",16,17)),INDEX('R3'!$D$3:$U$27,10,IF($B11="A",16,17))),"")</f>
        <v/>
      </c>
      <c r="G11" s="30" t="str">
        <f>IFERROR(AVERAGE(INDEX('R1'!$D$3:$U$27,10,IF($B11="A",17,16)),INDEX('R2'!$D$3:$U$27,10,IF($B11="A",17,16)),INDEX('R3'!$D$3:$U$27,10,IF($B11="A",17,16))),"")</f>
        <v/>
      </c>
      <c r="H11" s="29" t="str">
        <f t="shared" si="1"/>
        <v/>
      </c>
      <c r="I11" s="10">
        <f>(INDEX('R1'!$D$3:$U$27,10,11)="Different")+(INDEX('R2'!$D$3:$U$27,10,11)="Different")+(INDEX('R3'!$D$3:$U$27,10,11)="Different")</f>
        <v>0</v>
      </c>
      <c r="J11" s="10">
        <f>(INDEX('R1'!$D$3:$U$27,10,12)="Different")+(INDEX('R2'!$D$3:$U$27,10,12)="Different")+(INDEX('R3'!$D$3:$U$27,10,12)="Different")</f>
        <v>0</v>
      </c>
      <c r="K11" s="10">
        <f>(INDEX('R1'!$D$3:$U$27,10,13)="Different")+(INDEX('R2'!$D$3:$U$27,10,13)="Different")+(INDEX('R3'!$D$3:$U$27,10,13)="Different")</f>
        <v>0</v>
      </c>
      <c r="L11" s="10" t="str">
        <f t="shared" si="2"/>
        <v/>
      </c>
    </row>
    <row r="12" spans="1:12" x14ac:dyDescent="0.3">
      <c r="A12" s="12" t="s">
        <v>42</v>
      </c>
      <c r="B12" s="12" t="str">
        <f>VLOOKUP(A12,'Blinding key'!$A$2:$G$26,7,FALSE())</f>
        <v>A</v>
      </c>
      <c r="C12" s="30" t="str">
        <f>IFERROR(AVERAGE(INDEX('R1'!$D$3:$U$27,11,IF($B12="A",14,15)),INDEX('R2'!$D$3:$U$27,11,IF($B12="A",14,15)),INDEX('R3'!$D$3:$U$27,11,IF($B12="A",14,15))),"")</f>
        <v/>
      </c>
      <c r="D12" s="30" t="str">
        <f>IFERROR(AVERAGE(INDEX('R1'!$D$3:$U$27,11,IF($B12="A",15,14)),INDEX('R2'!$D$3:$U$27,11,IF($B12="A",15,14)),INDEX('R3'!$D$3:$U$27,11,IF($B12="A",15,14))),"")</f>
        <v/>
      </c>
      <c r="E12" s="29" t="str">
        <f t="shared" si="0"/>
        <v/>
      </c>
      <c r="F12" s="30" t="str">
        <f>IFERROR(AVERAGE(INDEX('R1'!$D$3:$U$27,11,IF($B12="A",16,17)),INDEX('R2'!$D$3:$U$27,11,IF($B12="A",16,17)),INDEX('R3'!$D$3:$U$27,11,IF($B12="A",16,17))),"")</f>
        <v/>
      </c>
      <c r="G12" s="30" t="str">
        <f>IFERROR(AVERAGE(INDEX('R1'!$D$3:$U$27,11,IF($B12="A",17,16)),INDEX('R2'!$D$3:$U$27,11,IF($B12="A",17,16)),INDEX('R3'!$D$3:$U$27,11,IF($B12="A",17,16))),"")</f>
        <v/>
      </c>
      <c r="H12" s="29" t="str">
        <f t="shared" si="1"/>
        <v/>
      </c>
      <c r="I12" s="10">
        <f>(INDEX('R1'!$D$3:$U$27,11,11)="Different")+(INDEX('R2'!$D$3:$U$27,11,11)="Different")+(INDEX('R3'!$D$3:$U$27,11,11)="Different")</f>
        <v>0</v>
      </c>
      <c r="J12" s="10">
        <f>(INDEX('R1'!$D$3:$U$27,11,12)="Different")+(INDEX('R2'!$D$3:$U$27,11,12)="Different")+(INDEX('R3'!$D$3:$U$27,11,12)="Different")</f>
        <v>0</v>
      </c>
      <c r="K12" s="10">
        <f>(INDEX('R1'!$D$3:$U$27,11,13)="Different")+(INDEX('R2'!$D$3:$U$27,11,13)="Different")+(INDEX('R3'!$D$3:$U$27,11,13)="Different")</f>
        <v>0</v>
      </c>
      <c r="L12" s="10" t="str">
        <f t="shared" si="2"/>
        <v/>
      </c>
    </row>
    <row r="13" spans="1:12" x14ac:dyDescent="0.3">
      <c r="A13" s="12" t="s">
        <v>44</v>
      </c>
      <c r="B13" s="12" t="str">
        <f>VLOOKUP(A13,'Blinding key'!$A$2:$G$26,7,FALSE())</f>
        <v>B</v>
      </c>
      <c r="C13" s="30" t="str">
        <f>IFERROR(AVERAGE(INDEX('R1'!$D$3:$U$27,12,IF($B13="A",14,15)),INDEX('R2'!$D$3:$U$27,12,IF($B13="A",14,15)),INDEX('R3'!$D$3:$U$27,12,IF($B13="A",14,15))),"")</f>
        <v/>
      </c>
      <c r="D13" s="30" t="str">
        <f>IFERROR(AVERAGE(INDEX('R1'!$D$3:$U$27,12,IF($B13="A",15,14)),INDEX('R2'!$D$3:$U$27,12,IF($B13="A",15,14)),INDEX('R3'!$D$3:$U$27,12,IF($B13="A",15,14))),"")</f>
        <v/>
      </c>
      <c r="E13" s="29" t="str">
        <f t="shared" si="0"/>
        <v/>
      </c>
      <c r="F13" s="30" t="str">
        <f>IFERROR(AVERAGE(INDEX('R1'!$D$3:$U$27,12,IF($B13="A",16,17)),INDEX('R2'!$D$3:$U$27,12,IF($B13="A",16,17)),INDEX('R3'!$D$3:$U$27,12,IF($B13="A",16,17))),"")</f>
        <v/>
      </c>
      <c r="G13" s="30" t="str">
        <f>IFERROR(AVERAGE(INDEX('R1'!$D$3:$U$27,12,IF($B13="A",17,16)),INDEX('R2'!$D$3:$U$27,12,IF($B13="A",17,16)),INDEX('R3'!$D$3:$U$27,12,IF($B13="A",17,16))),"")</f>
        <v/>
      </c>
      <c r="H13" s="29" t="str">
        <f t="shared" si="1"/>
        <v/>
      </c>
      <c r="I13" s="10">
        <f>(INDEX('R1'!$D$3:$U$27,12,11)="Different")+(INDEX('R2'!$D$3:$U$27,12,11)="Different")+(INDEX('R3'!$D$3:$U$27,12,11)="Different")</f>
        <v>0</v>
      </c>
      <c r="J13" s="10">
        <f>(INDEX('R1'!$D$3:$U$27,12,12)="Different")+(INDEX('R2'!$D$3:$U$27,12,12)="Different")+(INDEX('R3'!$D$3:$U$27,12,12)="Different")</f>
        <v>0</v>
      </c>
      <c r="K13" s="10">
        <f>(INDEX('R1'!$D$3:$U$27,12,13)="Different")+(INDEX('R2'!$D$3:$U$27,12,13)="Different")+(INDEX('R3'!$D$3:$U$27,12,13)="Different")</f>
        <v>0</v>
      </c>
      <c r="L13" s="10" t="str">
        <f t="shared" si="2"/>
        <v/>
      </c>
    </row>
    <row r="14" spans="1:12" x14ac:dyDescent="0.3">
      <c r="A14" s="12" t="s">
        <v>46</v>
      </c>
      <c r="B14" s="12" t="str">
        <f>VLOOKUP(A14,'Blinding key'!$A$2:$G$26,7,FALSE())</f>
        <v>A</v>
      </c>
      <c r="C14" s="30" t="str">
        <f>IFERROR(AVERAGE(INDEX('R1'!$D$3:$U$27,13,IF($B14="A",14,15)),INDEX('R2'!$D$3:$U$27,13,IF($B14="A",14,15)),INDEX('R3'!$D$3:$U$27,13,IF($B14="A",14,15))),"")</f>
        <v/>
      </c>
      <c r="D14" s="30" t="str">
        <f>IFERROR(AVERAGE(INDEX('R1'!$D$3:$U$27,13,IF($B14="A",15,14)),INDEX('R2'!$D$3:$U$27,13,IF($B14="A",15,14)),INDEX('R3'!$D$3:$U$27,13,IF($B14="A",15,14))),"")</f>
        <v/>
      </c>
      <c r="E14" s="29" t="str">
        <f t="shared" si="0"/>
        <v/>
      </c>
      <c r="F14" s="30" t="str">
        <f>IFERROR(AVERAGE(INDEX('R1'!$D$3:$U$27,13,IF($B14="A",16,17)),INDEX('R2'!$D$3:$U$27,13,IF($B14="A",16,17)),INDEX('R3'!$D$3:$U$27,13,IF($B14="A",16,17))),"")</f>
        <v/>
      </c>
      <c r="G14" s="30" t="str">
        <f>IFERROR(AVERAGE(INDEX('R1'!$D$3:$U$27,13,IF($B14="A",17,16)),INDEX('R2'!$D$3:$U$27,13,IF($B14="A",17,16)),INDEX('R3'!$D$3:$U$27,13,IF($B14="A",17,16))),"")</f>
        <v/>
      </c>
      <c r="H14" s="29" t="str">
        <f t="shared" si="1"/>
        <v/>
      </c>
      <c r="I14" s="10">
        <f>(INDEX('R1'!$D$3:$U$27,13,11)="Different")+(INDEX('R2'!$D$3:$U$27,13,11)="Different")+(INDEX('R3'!$D$3:$U$27,13,11)="Different")</f>
        <v>0</v>
      </c>
      <c r="J14" s="10">
        <f>(INDEX('R1'!$D$3:$U$27,13,12)="Different")+(INDEX('R2'!$D$3:$U$27,13,12)="Different")+(INDEX('R3'!$D$3:$U$27,13,12)="Different")</f>
        <v>0</v>
      </c>
      <c r="K14" s="10">
        <f>(INDEX('R1'!$D$3:$U$27,13,13)="Different")+(INDEX('R2'!$D$3:$U$27,13,13)="Different")+(INDEX('R3'!$D$3:$U$27,13,13)="Different")</f>
        <v>0</v>
      </c>
      <c r="L14" s="10" t="str">
        <f t="shared" si="2"/>
        <v/>
      </c>
    </row>
    <row r="15" spans="1:12" x14ac:dyDescent="0.3">
      <c r="A15" s="12" t="s">
        <v>48</v>
      </c>
      <c r="B15" s="12" t="str">
        <f>VLOOKUP(A15,'Blinding key'!$A$2:$G$26,7,FALSE())</f>
        <v>B</v>
      </c>
      <c r="C15" s="30" t="str">
        <f>IFERROR(AVERAGE(INDEX('R1'!$D$3:$U$27,14,IF($B15="A",14,15)),INDEX('R2'!$D$3:$U$27,14,IF($B15="A",14,15)),INDEX('R3'!$D$3:$U$27,14,IF($B15="A",14,15))),"")</f>
        <v/>
      </c>
      <c r="D15" s="30" t="str">
        <f>IFERROR(AVERAGE(INDEX('R1'!$D$3:$U$27,14,IF($B15="A",15,14)),INDEX('R2'!$D$3:$U$27,14,IF($B15="A",15,14)),INDEX('R3'!$D$3:$U$27,14,IF($B15="A",15,14))),"")</f>
        <v/>
      </c>
      <c r="E15" s="29" t="str">
        <f t="shared" si="0"/>
        <v/>
      </c>
      <c r="F15" s="30" t="str">
        <f>IFERROR(AVERAGE(INDEX('R1'!$D$3:$U$27,14,IF($B15="A",16,17)),INDEX('R2'!$D$3:$U$27,14,IF($B15="A",16,17)),INDEX('R3'!$D$3:$U$27,14,IF($B15="A",16,17))),"")</f>
        <v/>
      </c>
      <c r="G15" s="30" t="str">
        <f>IFERROR(AVERAGE(INDEX('R1'!$D$3:$U$27,14,IF($B15="A",17,16)),INDEX('R2'!$D$3:$U$27,14,IF($B15="A",17,16)),INDEX('R3'!$D$3:$U$27,14,IF($B15="A",17,16))),"")</f>
        <v/>
      </c>
      <c r="H15" s="29" t="str">
        <f t="shared" si="1"/>
        <v/>
      </c>
      <c r="I15" s="10">
        <f>(INDEX('R1'!$D$3:$U$27,14,11)="Different")+(INDEX('R2'!$D$3:$U$27,14,11)="Different")+(INDEX('R3'!$D$3:$U$27,14,11)="Different")</f>
        <v>0</v>
      </c>
      <c r="J15" s="10">
        <f>(INDEX('R1'!$D$3:$U$27,14,12)="Different")+(INDEX('R2'!$D$3:$U$27,14,12)="Different")+(INDEX('R3'!$D$3:$U$27,14,12)="Different")</f>
        <v>0</v>
      </c>
      <c r="K15" s="10">
        <f>(INDEX('R1'!$D$3:$U$27,14,13)="Different")+(INDEX('R2'!$D$3:$U$27,14,13)="Different")+(INDEX('R3'!$D$3:$U$27,14,13)="Different")</f>
        <v>0</v>
      </c>
      <c r="L15" s="10" t="str">
        <f t="shared" si="2"/>
        <v/>
      </c>
    </row>
    <row r="16" spans="1:12" x14ac:dyDescent="0.3">
      <c r="A16" s="12" t="s">
        <v>50</v>
      </c>
      <c r="B16" s="12" t="str">
        <f>VLOOKUP(A16,'Blinding key'!$A$2:$G$26,7,FALSE())</f>
        <v>B</v>
      </c>
      <c r="C16" s="30" t="str">
        <f>IFERROR(AVERAGE(INDEX('R1'!$D$3:$U$27,15,IF($B16="A",14,15)),INDEX('R2'!$D$3:$U$27,15,IF($B16="A",14,15)),INDEX('R3'!$D$3:$U$27,15,IF($B16="A",14,15))),"")</f>
        <v/>
      </c>
      <c r="D16" s="30" t="str">
        <f>IFERROR(AVERAGE(INDEX('R1'!$D$3:$U$27,15,IF($B16="A",15,14)),INDEX('R2'!$D$3:$U$27,15,IF($B16="A",15,14)),INDEX('R3'!$D$3:$U$27,15,IF($B16="A",15,14))),"")</f>
        <v/>
      </c>
      <c r="E16" s="29" t="str">
        <f t="shared" si="0"/>
        <v/>
      </c>
      <c r="F16" s="30" t="str">
        <f>IFERROR(AVERAGE(INDEX('R1'!$D$3:$U$27,15,IF($B16="A",16,17)),INDEX('R2'!$D$3:$U$27,15,IF($B16="A",16,17)),INDEX('R3'!$D$3:$U$27,15,IF($B16="A",16,17))),"")</f>
        <v/>
      </c>
      <c r="G16" s="30" t="str">
        <f>IFERROR(AVERAGE(INDEX('R1'!$D$3:$U$27,15,IF($B16="A",17,16)),INDEX('R2'!$D$3:$U$27,15,IF($B16="A",17,16)),INDEX('R3'!$D$3:$U$27,15,IF($B16="A",17,16))),"")</f>
        <v/>
      </c>
      <c r="H16" s="29" t="str">
        <f t="shared" si="1"/>
        <v/>
      </c>
      <c r="I16" s="10">
        <f>(INDEX('R1'!$D$3:$U$27,15,11)="Different")+(INDEX('R2'!$D$3:$U$27,15,11)="Different")+(INDEX('R3'!$D$3:$U$27,15,11)="Different")</f>
        <v>0</v>
      </c>
      <c r="J16" s="10">
        <f>(INDEX('R1'!$D$3:$U$27,15,12)="Different")+(INDEX('R2'!$D$3:$U$27,15,12)="Different")+(INDEX('R3'!$D$3:$U$27,15,12)="Different")</f>
        <v>0</v>
      </c>
      <c r="K16" s="10">
        <f>(INDEX('R1'!$D$3:$U$27,15,13)="Different")+(INDEX('R2'!$D$3:$U$27,15,13)="Different")+(INDEX('R3'!$D$3:$U$27,15,13)="Different")</f>
        <v>0</v>
      </c>
      <c r="L16" s="10" t="str">
        <f t="shared" si="2"/>
        <v/>
      </c>
    </row>
    <row r="17" spans="1:12" x14ac:dyDescent="0.3">
      <c r="A17" s="12" t="s">
        <v>52</v>
      </c>
      <c r="B17" s="12" t="str">
        <f>VLOOKUP(A17,'Blinding key'!$A$2:$G$26,7,FALSE())</f>
        <v>B</v>
      </c>
      <c r="C17" s="30" t="str">
        <f>IFERROR(AVERAGE(INDEX('R1'!$D$3:$U$27,16,IF($B17="A",14,15)),INDEX('R2'!$D$3:$U$27,16,IF($B17="A",14,15)),INDEX('R3'!$D$3:$U$27,16,IF($B17="A",14,15))),"")</f>
        <v/>
      </c>
      <c r="D17" s="30" t="str">
        <f>IFERROR(AVERAGE(INDEX('R1'!$D$3:$U$27,16,IF($B17="A",15,14)),INDEX('R2'!$D$3:$U$27,16,IF($B17="A",15,14)),INDEX('R3'!$D$3:$U$27,16,IF($B17="A",15,14))),"")</f>
        <v/>
      </c>
      <c r="E17" s="29" t="str">
        <f t="shared" si="0"/>
        <v/>
      </c>
      <c r="F17" s="30" t="str">
        <f>IFERROR(AVERAGE(INDEX('R1'!$D$3:$U$27,16,IF($B17="A",16,17)),INDEX('R2'!$D$3:$U$27,16,IF($B17="A",16,17)),INDEX('R3'!$D$3:$U$27,16,IF($B17="A",16,17))),"")</f>
        <v/>
      </c>
      <c r="G17" s="30" t="str">
        <f>IFERROR(AVERAGE(INDEX('R1'!$D$3:$U$27,16,IF($B17="A",17,16)),INDEX('R2'!$D$3:$U$27,16,IF($B17="A",17,16)),INDEX('R3'!$D$3:$U$27,16,IF($B17="A",17,16))),"")</f>
        <v/>
      </c>
      <c r="H17" s="29" t="str">
        <f t="shared" si="1"/>
        <v/>
      </c>
      <c r="I17" s="10">
        <f>(INDEX('R1'!$D$3:$U$27,16,11)="Different")+(INDEX('R2'!$D$3:$U$27,16,11)="Different")+(INDEX('R3'!$D$3:$U$27,16,11)="Different")</f>
        <v>0</v>
      </c>
      <c r="J17" s="10">
        <f>(INDEX('R1'!$D$3:$U$27,16,12)="Different")+(INDEX('R2'!$D$3:$U$27,16,12)="Different")+(INDEX('R3'!$D$3:$U$27,16,12)="Different")</f>
        <v>0</v>
      </c>
      <c r="K17" s="10">
        <f>(INDEX('R1'!$D$3:$U$27,16,13)="Different")+(INDEX('R2'!$D$3:$U$27,16,13)="Different")+(INDEX('R3'!$D$3:$U$27,16,13)="Different")</f>
        <v>0</v>
      </c>
      <c r="L17" s="10" t="str">
        <f t="shared" si="2"/>
        <v/>
      </c>
    </row>
    <row r="18" spans="1:12" x14ac:dyDescent="0.3">
      <c r="A18" s="12" t="s">
        <v>54</v>
      </c>
      <c r="B18" s="12" t="str">
        <f>VLOOKUP(A18,'Blinding key'!$A$2:$G$26,7,FALSE())</f>
        <v>A</v>
      </c>
      <c r="C18" s="30" t="str">
        <f>IFERROR(AVERAGE(INDEX('R1'!$D$3:$U$27,17,IF($B18="A",14,15)),INDEX('R2'!$D$3:$U$27,17,IF($B18="A",14,15)),INDEX('R3'!$D$3:$U$27,17,IF($B18="A",14,15))),"")</f>
        <v/>
      </c>
      <c r="D18" s="30" t="str">
        <f>IFERROR(AVERAGE(INDEX('R1'!$D$3:$U$27,17,IF($B18="A",15,14)),INDEX('R2'!$D$3:$U$27,17,IF($B18="A",15,14)),INDEX('R3'!$D$3:$U$27,17,IF($B18="A",15,14))),"")</f>
        <v/>
      </c>
      <c r="E18" s="29" t="str">
        <f t="shared" si="0"/>
        <v/>
      </c>
      <c r="F18" s="30" t="str">
        <f>IFERROR(AVERAGE(INDEX('R1'!$D$3:$U$27,17,IF($B18="A",16,17)),INDEX('R2'!$D$3:$U$27,17,IF($B18="A",16,17)),INDEX('R3'!$D$3:$U$27,17,IF($B18="A",16,17))),"")</f>
        <v/>
      </c>
      <c r="G18" s="30" t="str">
        <f>IFERROR(AVERAGE(INDEX('R1'!$D$3:$U$27,17,IF($B18="A",17,16)),INDEX('R2'!$D$3:$U$27,17,IF($B18="A",17,16)),INDEX('R3'!$D$3:$U$27,17,IF($B18="A",17,16))),"")</f>
        <v/>
      </c>
      <c r="H18" s="29" t="str">
        <f t="shared" si="1"/>
        <v/>
      </c>
      <c r="I18" s="10">
        <f>(INDEX('R1'!$D$3:$U$27,17,11)="Different")+(INDEX('R2'!$D$3:$U$27,17,11)="Different")+(INDEX('R3'!$D$3:$U$27,17,11)="Different")</f>
        <v>0</v>
      </c>
      <c r="J18" s="10">
        <f>(INDEX('R1'!$D$3:$U$27,17,12)="Different")+(INDEX('R2'!$D$3:$U$27,17,12)="Different")+(INDEX('R3'!$D$3:$U$27,17,12)="Different")</f>
        <v>0</v>
      </c>
      <c r="K18" s="10">
        <f>(INDEX('R1'!$D$3:$U$27,17,13)="Different")+(INDEX('R2'!$D$3:$U$27,17,13)="Different")+(INDEX('R3'!$D$3:$U$27,17,13)="Different")</f>
        <v>0</v>
      </c>
      <c r="L18" s="10" t="str">
        <f t="shared" si="2"/>
        <v/>
      </c>
    </row>
    <row r="19" spans="1:12" x14ac:dyDescent="0.3">
      <c r="A19" s="12" t="s">
        <v>56</v>
      </c>
      <c r="B19" s="12" t="str">
        <f>VLOOKUP(A19,'Blinding key'!$A$2:$G$26,7,FALSE())</f>
        <v>B</v>
      </c>
      <c r="C19" s="30" t="str">
        <f>IFERROR(AVERAGE(INDEX('R1'!$D$3:$U$27,18,IF($B19="A",14,15)),INDEX('R2'!$D$3:$U$27,18,IF($B19="A",14,15)),INDEX('R3'!$D$3:$U$27,18,IF($B19="A",14,15))),"")</f>
        <v/>
      </c>
      <c r="D19" s="30" t="str">
        <f>IFERROR(AVERAGE(INDEX('R1'!$D$3:$U$27,18,IF($B19="A",15,14)),INDEX('R2'!$D$3:$U$27,18,IF($B19="A",15,14)),INDEX('R3'!$D$3:$U$27,18,IF($B19="A",15,14))),"")</f>
        <v/>
      </c>
      <c r="E19" s="29" t="str">
        <f t="shared" si="0"/>
        <v/>
      </c>
      <c r="F19" s="30" t="str">
        <f>IFERROR(AVERAGE(INDEX('R1'!$D$3:$U$27,18,IF($B19="A",16,17)),INDEX('R2'!$D$3:$U$27,18,IF($B19="A",16,17)),INDEX('R3'!$D$3:$U$27,18,IF($B19="A",16,17))),"")</f>
        <v/>
      </c>
      <c r="G19" s="30" t="str">
        <f>IFERROR(AVERAGE(INDEX('R1'!$D$3:$U$27,18,IF($B19="A",17,16)),INDEX('R2'!$D$3:$U$27,18,IF($B19="A",17,16)),INDEX('R3'!$D$3:$U$27,18,IF($B19="A",17,16))),"")</f>
        <v/>
      </c>
      <c r="H19" s="29" t="str">
        <f t="shared" si="1"/>
        <v/>
      </c>
      <c r="I19" s="10">
        <f>(INDEX('R1'!$D$3:$U$27,18,11)="Different")+(INDEX('R2'!$D$3:$U$27,18,11)="Different")+(INDEX('R3'!$D$3:$U$27,18,11)="Different")</f>
        <v>0</v>
      </c>
      <c r="J19" s="10">
        <f>(INDEX('R1'!$D$3:$U$27,18,12)="Different")+(INDEX('R2'!$D$3:$U$27,18,12)="Different")+(INDEX('R3'!$D$3:$U$27,18,12)="Different")</f>
        <v>0</v>
      </c>
      <c r="K19" s="10">
        <f>(INDEX('R1'!$D$3:$U$27,18,13)="Different")+(INDEX('R2'!$D$3:$U$27,18,13)="Different")+(INDEX('R3'!$D$3:$U$27,18,13)="Different")</f>
        <v>0</v>
      </c>
      <c r="L19" s="10" t="str">
        <f t="shared" si="2"/>
        <v/>
      </c>
    </row>
    <row r="20" spans="1:12" x14ac:dyDescent="0.3">
      <c r="A20" s="12" t="s">
        <v>58</v>
      </c>
      <c r="B20" s="12" t="str">
        <f>VLOOKUP(A20,'Blinding key'!$A$2:$G$26,7,FALSE())</f>
        <v>A</v>
      </c>
      <c r="C20" s="30" t="str">
        <f>IFERROR(AVERAGE(INDEX('R1'!$D$3:$U$27,19,IF($B20="A",14,15)),INDEX('R2'!$D$3:$U$27,19,IF($B20="A",14,15)),INDEX('R3'!$D$3:$U$27,19,IF($B20="A",14,15))),"")</f>
        <v/>
      </c>
      <c r="D20" s="30" t="str">
        <f>IFERROR(AVERAGE(INDEX('R1'!$D$3:$U$27,19,IF($B20="A",15,14)),INDEX('R2'!$D$3:$U$27,19,IF($B20="A",15,14)),INDEX('R3'!$D$3:$U$27,19,IF($B20="A",15,14))),"")</f>
        <v/>
      </c>
      <c r="E20" s="29" t="str">
        <f t="shared" si="0"/>
        <v/>
      </c>
      <c r="F20" s="30" t="str">
        <f>IFERROR(AVERAGE(INDEX('R1'!$D$3:$U$27,19,IF($B20="A",16,17)),INDEX('R2'!$D$3:$U$27,19,IF($B20="A",16,17)),INDEX('R3'!$D$3:$U$27,19,IF($B20="A",16,17))),"")</f>
        <v/>
      </c>
      <c r="G20" s="30" t="str">
        <f>IFERROR(AVERAGE(INDEX('R1'!$D$3:$U$27,19,IF($B20="A",17,16)),INDEX('R2'!$D$3:$U$27,19,IF($B20="A",17,16)),INDEX('R3'!$D$3:$U$27,19,IF($B20="A",17,16))),"")</f>
        <v/>
      </c>
      <c r="H20" s="29" t="str">
        <f t="shared" si="1"/>
        <v/>
      </c>
      <c r="I20" s="10">
        <f>(INDEX('R1'!$D$3:$U$27,19,11)="Different")+(INDEX('R2'!$D$3:$U$27,19,11)="Different")+(INDEX('R3'!$D$3:$U$27,19,11)="Different")</f>
        <v>0</v>
      </c>
      <c r="J20" s="10">
        <f>(INDEX('R1'!$D$3:$U$27,19,12)="Different")+(INDEX('R2'!$D$3:$U$27,19,12)="Different")+(INDEX('R3'!$D$3:$U$27,19,12)="Different")</f>
        <v>0</v>
      </c>
      <c r="K20" s="10">
        <f>(INDEX('R1'!$D$3:$U$27,19,13)="Different")+(INDEX('R2'!$D$3:$U$27,19,13)="Different")+(INDEX('R3'!$D$3:$U$27,19,13)="Different")</f>
        <v>0</v>
      </c>
      <c r="L20" s="10" t="str">
        <f t="shared" si="2"/>
        <v/>
      </c>
    </row>
    <row r="21" spans="1:12" x14ac:dyDescent="0.3">
      <c r="A21" s="12" t="s">
        <v>60</v>
      </c>
      <c r="B21" s="12" t="str">
        <f>VLOOKUP(A21,'Blinding key'!$A$2:$G$26,7,FALSE())</f>
        <v>B</v>
      </c>
      <c r="C21" s="30" t="str">
        <f>IFERROR(AVERAGE(INDEX('R1'!$D$3:$U$27,20,IF($B21="A",14,15)),INDEX('R2'!$D$3:$U$27,20,IF($B21="A",14,15)),INDEX('R3'!$D$3:$U$27,20,IF($B21="A",14,15))),"")</f>
        <v/>
      </c>
      <c r="D21" s="30" t="str">
        <f>IFERROR(AVERAGE(INDEX('R1'!$D$3:$U$27,20,IF($B21="A",15,14)),INDEX('R2'!$D$3:$U$27,20,IF($B21="A",15,14)),INDEX('R3'!$D$3:$U$27,20,IF($B21="A",15,14))),"")</f>
        <v/>
      </c>
      <c r="E21" s="29" t="str">
        <f t="shared" si="0"/>
        <v/>
      </c>
      <c r="F21" s="30" t="str">
        <f>IFERROR(AVERAGE(INDEX('R1'!$D$3:$U$27,20,IF($B21="A",16,17)),INDEX('R2'!$D$3:$U$27,20,IF($B21="A",16,17)),INDEX('R3'!$D$3:$U$27,20,IF($B21="A",16,17))),"")</f>
        <v/>
      </c>
      <c r="G21" s="30" t="str">
        <f>IFERROR(AVERAGE(INDEX('R1'!$D$3:$U$27,20,IF($B21="A",17,16)),INDEX('R2'!$D$3:$U$27,20,IF($B21="A",17,16)),INDEX('R3'!$D$3:$U$27,20,IF($B21="A",17,16))),"")</f>
        <v/>
      </c>
      <c r="H21" s="29" t="str">
        <f t="shared" si="1"/>
        <v/>
      </c>
      <c r="I21" s="10">
        <f>(INDEX('R1'!$D$3:$U$27,20,11)="Different")+(INDEX('R2'!$D$3:$U$27,20,11)="Different")+(INDEX('R3'!$D$3:$U$27,20,11)="Different")</f>
        <v>0</v>
      </c>
      <c r="J21" s="10">
        <f>(INDEX('R1'!$D$3:$U$27,20,12)="Different")+(INDEX('R2'!$D$3:$U$27,20,12)="Different")+(INDEX('R3'!$D$3:$U$27,20,12)="Different")</f>
        <v>0</v>
      </c>
      <c r="K21" s="10">
        <f>(INDEX('R1'!$D$3:$U$27,20,13)="Different")+(INDEX('R2'!$D$3:$U$27,20,13)="Different")+(INDEX('R3'!$D$3:$U$27,20,13)="Different")</f>
        <v>0</v>
      </c>
      <c r="L21" s="10" t="str">
        <f t="shared" si="2"/>
        <v/>
      </c>
    </row>
    <row r="22" spans="1:12" x14ac:dyDescent="0.3">
      <c r="A22" s="12" t="s">
        <v>62</v>
      </c>
      <c r="B22" s="12" t="str">
        <f>VLOOKUP(A22,'Blinding key'!$A$2:$G$26,7,FALSE())</f>
        <v>A</v>
      </c>
      <c r="C22" s="30" t="str">
        <f>IFERROR(AVERAGE(INDEX('R1'!$D$3:$U$27,21,IF($B22="A",14,15)),INDEX('R2'!$D$3:$U$27,21,IF($B22="A",14,15)),INDEX('R3'!$D$3:$U$27,21,IF($B22="A",14,15))),"")</f>
        <v/>
      </c>
      <c r="D22" s="30" t="str">
        <f>IFERROR(AVERAGE(INDEX('R1'!$D$3:$U$27,21,IF($B22="A",15,14)),INDEX('R2'!$D$3:$U$27,21,IF($B22="A",15,14)),INDEX('R3'!$D$3:$U$27,21,IF($B22="A",15,14))),"")</f>
        <v/>
      </c>
      <c r="E22" s="29" t="str">
        <f t="shared" si="0"/>
        <v/>
      </c>
      <c r="F22" s="30" t="str">
        <f>IFERROR(AVERAGE(INDEX('R1'!$D$3:$U$27,21,IF($B22="A",16,17)),INDEX('R2'!$D$3:$U$27,21,IF($B22="A",16,17)),INDEX('R3'!$D$3:$U$27,21,IF($B22="A",16,17))),"")</f>
        <v/>
      </c>
      <c r="G22" s="30" t="str">
        <f>IFERROR(AVERAGE(INDEX('R1'!$D$3:$U$27,21,IF($B22="A",17,16)),INDEX('R2'!$D$3:$U$27,21,IF($B22="A",17,16)),INDEX('R3'!$D$3:$U$27,21,IF($B22="A",17,16))),"")</f>
        <v/>
      </c>
      <c r="H22" s="29" t="str">
        <f t="shared" si="1"/>
        <v/>
      </c>
      <c r="I22" s="10">
        <f>(INDEX('R1'!$D$3:$U$27,21,11)="Different")+(INDEX('R2'!$D$3:$U$27,21,11)="Different")+(INDEX('R3'!$D$3:$U$27,21,11)="Different")</f>
        <v>0</v>
      </c>
      <c r="J22" s="10">
        <f>(INDEX('R1'!$D$3:$U$27,21,12)="Different")+(INDEX('R2'!$D$3:$U$27,21,12)="Different")+(INDEX('R3'!$D$3:$U$27,21,12)="Different")</f>
        <v>0</v>
      </c>
      <c r="K22" s="10">
        <f>(INDEX('R1'!$D$3:$U$27,21,13)="Different")+(INDEX('R2'!$D$3:$U$27,21,13)="Different")+(INDEX('R3'!$D$3:$U$27,21,13)="Different")</f>
        <v>0</v>
      </c>
      <c r="L22" s="10" t="str">
        <f t="shared" si="2"/>
        <v/>
      </c>
    </row>
    <row r="23" spans="1:12" x14ac:dyDescent="0.3">
      <c r="A23" s="12" t="s">
        <v>64</v>
      </c>
      <c r="B23" s="12" t="str">
        <f>VLOOKUP(A23,'Blinding key'!$A$2:$G$26,7,FALSE())</f>
        <v>A</v>
      </c>
      <c r="C23" s="30" t="str">
        <f>IFERROR(AVERAGE(INDEX('R1'!$D$3:$U$27,22,IF($B23="A",14,15)),INDEX('R2'!$D$3:$U$27,22,IF($B23="A",14,15)),INDEX('R3'!$D$3:$U$27,22,IF($B23="A",14,15))),"")</f>
        <v/>
      </c>
      <c r="D23" s="30" t="str">
        <f>IFERROR(AVERAGE(INDEX('R1'!$D$3:$U$27,22,IF($B23="A",15,14)),INDEX('R2'!$D$3:$U$27,22,IF($B23="A",15,14)),INDEX('R3'!$D$3:$U$27,22,IF($B23="A",15,14))),"")</f>
        <v/>
      </c>
      <c r="E23" s="29" t="str">
        <f t="shared" si="0"/>
        <v/>
      </c>
      <c r="F23" s="30" t="str">
        <f>IFERROR(AVERAGE(INDEX('R1'!$D$3:$U$27,22,IF($B23="A",16,17)),INDEX('R2'!$D$3:$U$27,22,IF($B23="A",16,17)),INDEX('R3'!$D$3:$U$27,22,IF($B23="A",16,17))),"")</f>
        <v/>
      </c>
      <c r="G23" s="30" t="str">
        <f>IFERROR(AVERAGE(INDEX('R1'!$D$3:$U$27,22,IF($B23="A",17,16)),INDEX('R2'!$D$3:$U$27,22,IF($B23="A",17,16)),INDEX('R3'!$D$3:$U$27,22,IF($B23="A",17,16))),"")</f>
        <v/>
      </c>
      <c r="H23" s="29" t="str">
        <f t="shared" si="1"/>
        <v/>
      </c>
      <c r="I23" s="10">
        <f>(INDEX('R1'!$D$3:$U$27,22,11)="Different")+(INDEX('R2'!$D$3:$U$27,22,11)="Different")+(INDEX('R3'!$D$3:$U$27,22,11)="Different")</f>
        <v>0</v>
      </c>
      <c r="J23" s="10">
        <f>(INDEX('R1'!$D$3:$U$27,22,12)="Different")+(INDEX('R2'!$D$3:$U$27,22,12)="Different")+(INDEX('R3'!$D$3:$U$27,22,12)="Different")</f>
        <v>0</v>
      </c>
      <c r="K23" s="10">
        <f>(INDEX('R1'!$D$3:$U$27,22,13)="Different")+(INDEX('R2'!$D$3:$U$27,22,13)="Different")+(INDEX('R3'!$D$3:$U$27,22,13)="Different")</f>
        <v>0</v>
      </c>
      <c r="L23" s="10" t="str">
        <f t="shared" si="2"/>
        <v/>
      </c>
    </row>
    <row r="24" spans="1:12" x14ac:dyDescent="0.3">
      <c r="A24" s="12" t="s">
        <v>66</v>
      </c>
      <c r="B24" s="12" t="str">
        <f>VLOOKUP(A24,'Blinding key'!$A$2:$G$26,7,FALSE())</f>
        <v>A</v>
      </c>
      <c r="C24" s="30" t="str">
        <f>IFERROR(AVERAGE(INDEX('R1'!$D$3:$U$27,23,IF($B24="A",14,15)),INDEX('R2'!$D$3:$U$27,23,IF($B24="A",14,15)),INDEX('R3'!$D$3:$U$27,23,IF($B24="A",14,15))),"")</f>
        <v/>
      </c>
      <c r="D24" s="30" t="str">
        <f>IFERROR(AVERAGE(INDEX('R1'!$D$3:$U$27,23,IF($B24="A",15,14)),INDEX('R2'!$D$3:$U$27,23,IF($B24="A",15,14)),INDEX('R3'!$D$3:$U$27,23,IF($B24="A",15,14))),"")</f>
        <v/>
      </c>
      <c r="E24" s="29" t="str">
        <f t="shared" si="0"/>
        <v/>
      </c>
      <c r="F24" s="30" t="str">
        <f>IFERROR(AVERAGE(INDEX('R1'!$D$3:$U$27,23,IF($B24="A",16,17)),INDEX('R2'!$D$3:$U$27,23,IF($B24="A",16,17)),INDEX('R3'!$D$3:$U$27,23,IF($B24="A",16,17))),"")</f>
        <v/>
      </c>
      <c r="G24" s="30" t="str">
        <f>IFERROR(AVERAGE(INDEX('R1'!$D$3:$U$27,23,IF($B24="A",17,16)),INDEX('R2'!$D$3:$U$27,23,IF($B24="A",17,16)),INDEX('R3'!$D$3:$U$27,23,IF($B24="A",17,16))),"")</f>
        <v/>
      </c>
      <c r="H24" s="29" t="str">
        <f t="shared" si="1"/>
        <v/>
      </c>
      <c r="I24" s="10">
        <f>(INDEX('R1'!$D$3:$U$27,23,11)="Different")+(INDEX('R2'!$D$3:$U$27,23,11)="Different")+(INDEX('R3'!$D$3:$U$27,23,11)="Different")</f>
        <v>0</v>
      </c>
      <c r="J24" s="10">
        <f>(INDEX('R1'!$D$3:$U$27,23,12)="Different")+(INDEX('R2'!$D$3:$U$27,23,12)="Different")+(INDEX('R3'!$D$3:$U$27,23,12)="Different")</f>
        <v>0</v>
      </c>
      <c r="K24" s="10">
        <f>(INDEX('R1'!$D$3:$U$27,23,13)="Different")+(INDEX('R2'!$D$3:$U$27,23,13)="Different")+(INDEX('R3'!$D$3:$U$27,23,13)="Different")</f>
        <v>0</v>
      </c>
      <c r="L24" s="10" t="str">
        <f t="shared" si="2"/>
        <v/>
      </c>
    </row>
    <row r="25" spans="1:12" x14ac:dyDescent="0.3">
      <c r="A25" s="12" t="s">
        <v>68</v>
      </c>
      <c r="B25" s="12" t="str">
        <f>VLOOKUP(A25,'Blinding key'!$A$2:$G$26,7,FALSE())</f>
        <v>A</v>
      </c>
      <c r="C25" s="30" t="str">
        <f>IFERROR(AVERAGE(INDEX('R1'!$D$3:$U$27,24,IF($B25="A",14,15)),INDEX('R2'!$D$3:$U$27,24,IF($B25="A",14,15)),INDEX('R3'!$D$3:$U$27,24,IF($B25="A",14,15))),"")</f>
        <v/>
      </c>
      <c r="D25" s="30" t="str">
        <f>IFERROR(AVERAGE(INDEX('R1'!$D$3:$U$27,24,IF($B25="A",15,14)),INDEX('R2'!$D$3:$U$27,24,IF($B25="A",15,14)),INDEX('R3'!$D$3:$U$27,24,IF($B25="A",15,14))),"")</f>
        <v/>
      </c>
      <c r="E25" s="29" t="str">
        <f t="shared" si="0"/>
        <v/>
      </c>
      <c r="F25" s="30" t="str">
        <f>IFERROR(AVERAGE(INDEX('R1'!$D$3:$U$27,24,IF($B25="A",16,17)),INDEX('R2'!$D$3:$U$27,24,IF($B25="A",16,17)),INDEX('R3'!$D$3:$U$27,24,IF($B25="A",16,17))),"")</f>
        <v/>
      </c>
      <c r="G25" s="30" t="str">
        <f>IFERROR(AVERAGE(INDEX('R1'!$D$3:$U$27,24,IF($B25="A",17,16)),INDEX('R2'!$D$3:$U$27,24,IF($B25="A",17,16)),INDEX('R3'!$D$3:$U$27,24,IF($B25="A",17,16))),"")</f>
        <v/>
      </c>
      <c r="H25" s="29" t="str">
        <f t="shared" si="1"/>
        <v/>
      </c>
      <c r="I25" s="10">
        <f>(INDEX('R1'!$D$3:$U$27,24,11)="Different")+(INDEX('R2'!$D$3:$U$27,24,11)="Different")+(INDEX('R3'!$D$3:$U$27,24,11)="Different")</f>
        <v>0</v>
      </c>
      <c r="J25" s="10">
        <f>(INDEX('R1'!$D$3:$U$27,24,12)="Different")+(INDEX('R2'!$D$3:$U$27,24,12)="Different")+(INDEX('R3'!$D$3:$U$27,24,12)="Different")</f>
        <v>0</v>
      </c>
      <c r="K25" s="10">
        <f>(INDEX('R1'!$D$3:$U$27,24,13)="Different")+(INDEX('R2'!$D$3:$U$27,24,13)="Different")+(INDEX('R3'!$D$3:$U$27,24,13)="Different")</f>
        <v>0</v>
      </c>
      <c r="L25" s="10" t="str">
        <f t="shared" si="2"/>
        <v/>
      </c>
    </row>
    <row r="26" spans="1:12" x14ac:dyDescent="0.3">
      <c r="A26" s="12" t="s">
        <v>70</v>
      </c>
      <c r="B26" s="12" t="str">
        <f>VLOOKUP(A26,'Blinding key'!$A$2:$G$26,7,FALSE())</f>
        <v>B</v>
      </c>
      <c r="C26" s="30" t="str">
        <f>IFERROR(AVERAGE(INDEX('R1'!$D$3:$U$27,25,IF($B26="A",14,15)),INDEX('R2'!$D$3:$U$27,25,IF($B26="A",14,15)),INDEX('R3'!$D$3:$U$27,25,IF($B26="A",14,15))),"")</f>
        <v/>
      </c>
      <c r="D26" s="30" t="str">
        <f>IFERROR(AVERAGE(INDEX('R1'!$D$3:$U$27,25,IF($B26="A",15,14)),INDEX('R2'!$D$3:$U$27,25,IF($B26="A",15,14)),INDEX('R3'!$D$3:$U$27,25,IF($B26="A",15,14))),"")</f>
        <v/>
      </c>
      <c r="E26" s="29" t="str">
        <f t="shared" si="0"/>
        <v/>
      </c>
      <c r="F26" s="30" t="str">
        <f>IFERROR(AVERAGE(INDEX('R1'!$D$3:$U$27,25,IF($B26="A",16,17)),INDEX('R2'!$D$3:$U$27,25,IF($B26="A",16,17)),INDEX('R3'!$D$3:$U$27,25,IF($B26="A",16,17))),"")</f>
        <v/>
      </c>
      <c r="G26" s="30" t="str">
        <f>IFERROR(AVERAGE(INDEX('R1'!$D$3:$U$27,25,IF($B26="A",17,16)),INDEX('R2'!$D$3:$U$27,25,IF($B26="A",17,16)),INDEX('R3'!$D$3:$U$27,25,IF($B26="A",17,16))),"")</f>
        <v/>
      </c>
      <c r="H26" s="29" t="str">
        <f t="shared" si="1"/>
        <v/>
      </c>
      <c r="I26" s="10">
        <f>(INDEX('R1'!$D$3:$U$27,25,11)="Different")+(INDEX('R2'!$D$3:$U$27,25,11)="Different")+(INDEX('R3'!$D$3:$U$27,25,11)="Different")</f>
        <v>0</v>
      </c>
      <c r="J26" s="10">
        <f>(INDEX('R1'!$D$3:$U$27,25,12)="Different")+(INDEX('R2'!$D$3:$U$27,25,12)="Different")+(INDEX('R3'!$D$3:$U$27,25,12)="Different")</f>
        <v>0</v>
      </c>
      <c r="K26" s="10">
        <f>(INDEX('R1'!$D$3:$U$27,25,13)="Different")+(INDEX('R2'!$D$3:$U$27,25,13)="Different")+(INDEX('R3'!$D$3:$U$27,25,13)="Different")</f>
        <v>0</v>
      </c>
      <c r="L26" s="10" t="str">
        <f t="shared" si="2"/>
        <v/>
      </c>
    </row>
  </sheetData>
  <sheetProtection sheet="1" formatColumns="0" formatRows="0"/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9"/>
  <sheetViews>
    <sheetView tabSelected="1" zoomScaleNormal="100" workbookViewId="0"/>
  </sheetViews>
  <sheetFormatPr defaultColWidth="8.6640625" defaultRowHeight="14.4" x14ac:dyDescent="0.3"/>
  <cols>
    <col min="1" max="1" width="66" customWidth="1"/>
    <col min="2" max="2" width="14" customWidth="1"/>
    <col min="3" max="3" width="12" customWidth="1"/>
  </cols>
  <sheetData>
    <row r="1" spans="1:3" x14ac:dyDescent="0.3">
      <c r="A1" s="9" t="s">
        <v>114</v>
      </c>
      <c r="B1" s="9" t="s">
        <v>115</v>
      </c>
      <c r="C1" s="9" t="s">
        <v>116</v>
      </c>
    </row>
    <row r="2" spans="1:3" x14ac:dyDescent="0.3">
      <c r="A2" s="11" t="s">
        <v>117</v>
      </c>
      <c r="B2" s="35">
        <f>COUNT(Features!O2:O126)</f>
        <v>0</v>
      </c>
      <c r="C2" s="10"/>
    </row>
    <row r="3" spans="1:3" x14ac:dyDescent="0.3">
      <c r="A3" s="11" t="s">
        <v>118</v>
      </c>
      <c r="B3" s="36" t="str">
        <f>IFERROR(SUMPRODUCT((Features!G2:G126="Y")*(Features!P2:P126=1))/SUMPRODUCT((Features!G2:G126="Y")*(Features!P2:P126&lt;&gt;"")),"")</f>
        <v/>
      </c>
      <c r="C3" s="10">
        <f>SUMPRODUCT((Features!G2:G126="Y")*(Features!P2:P126&lt;&gt;""))</f>
        <v>0</v>
      </c>
    </row>
    <row r="4" spans="1:3" x14ac:dyDescent="0.3">
      <c r="A4" s="11" t="s">
        <v>119</v>
      </c>
      <c r="B4" s="36" t="str">
        <f>IFERROR(COUNTIF(Features!P2:P126,1)/COUNT(Features!P2:P126),"")</f>
        <v/>
      </c>
      <c r="C4" s="10">
        <f>COUNT(Features!P2:P126)</f>
        <v>0</v>
      </c>
    </row>
    <row r="5" spans="1:3" x14ac:dyDescent="0.3">
      <c r="A5" s="11" t="s">
        <v>120</v>
      </c>
      <c r="B5" s="36" t="str">
        <f>IFERROR(COUNTIF(Features!Q2:Q126,1)/COUNT(Features!Q2:Q126),"")</f>
        <v/>
      </c>
      <c r="C5" s="10">
        <f>COUNT(Features!Q2:Q126)</f>
        <v>0</v>
      </c>
    </row>
    <row r="6" spans="1:3" x14ac:dyDescent="0.3">
      <c r="A6" s="11" t="s">
        <v>121</v>
      </c>
      <c r="B6" s="36">
        <f>IFERROR(COUNTIF(Features!R2:R126,1)/COUNT(Features!R2:R126),"")</f>
        <v>0.84</v>
      </c>
      <c r="C6" s="10">
        <f>COUNT(Features!R2:R126)</f>
        <v>25</v>
      </c>
    </row>
    <row r="7" spans="1:3" x14ac:dyDescent="0.3">
      <c r="A7" s="11" t="s">
        <v>122</v>
      </c>
      <c r="B7" s="29" t="str">
        <f>IFERROR(AVERAGE(Quality!E2:E26),"")</f>
        <v/>
      </c>
      <c r="C7" s="10">
        <f>COUNT(Quality!E2:E26)</f>
        <v>0</v>
      </c>
    </row>
    <row r="8" spans="1:3" x14ac:dyDescent="0.3">
      <c r="A8" s="11" t="s">
        <v>123</v>
      </c>
      <c r="B8" s="29" t="str">
        <f>IFERROR(AVERAGE(Quality!H2:H26),"")</f>
        <v/>
      </c>
      <c r="C8" s="10">
        <f>COUNT(Quality!H2:H26)</f>
        <v>0</v>
      </c>
    </row>
    <row r="9" spans="1:3" x14ac:dyDescent="0.3">
      <c r="A9" s="11" t="s">
        <v>124</v>
      </c>
      <c r="B9" s="36" t="str">
        <f>IFERROR(SUM(Quality!L2:L26)/COUNT(Quality!L2:L26),"")</f>
        <v/>
      </c>
      <c r="C9" s="10">
        <f>COUNT(Quality!L2:L26)</f>
        <v>0</v>
      </c>
    </row>
  </sheetData>
  <sheetProtection sheet="1" formatColumns="0" formatRows="0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Read me</vt:lpstr>
      <vt:lpstr>Blinding key</vt:lpstr>
      <vt:lpstr>R1</vt:lpstr>
      <vt:lpstr>R2</vt:lpstr>
      <vt:lpstr>R3</vt:lpstr>
      <vt:lpstr>Features</vt:lpstr>
      <vt:lpstr>Quality</vt:lpstr>
      <vt:lpstr>Summary</vt:lpstr>
      <vt:lpstr>'Blinding key'!Print_Titles</vt:lpstr>
      <vt:lpstr>Features!Print_Titles</vt:lpstr>
      <vt:lpstr>Quality!Print_Titles</vt:lpstr>
      <vt:lpstr>'R1'!Print_Titles</vt:lpstr>
      <vt:lpstr>'R2'!Print_Titles</vt:lpstr>
      <vt:lpstr>'R3'!Print_Titles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Fatih  KAHRAMAN</cp:lastModifiedBy>
  <cp:revision>0</cp:revision>
  <dcterms:created xsi:type="dcterms:W3CDTF">2026-10-24T15:12:12Z</dcterms:created>
  <dcterms:modified xsi:type="dcterms:W3CDTF">2026-10-25T09:54:29Z</dcterms:modified>
  <dc:language>en-US</dc:language>
</cp:coreProperties>
</file>